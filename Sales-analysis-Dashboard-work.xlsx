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DATA ANALYTICS\1 Business Analytics with Excel\"/>
    </mc:Choice>
  </mc:AlternateContent>
  <xr:revisionPtr revIDLastSave="0" documentId="8_{3A7A8970-779C-4CA7-A37D-F3BDE58EC9B2}" xr6:coauthVersionLast="47" xr6:coauthVersionMax="47" xr10:uidLastSave="{00000000-0000-0000-0000-000000000000}"/>
  <bookViews>
    <workbookView xWindow="-118" yWindow="-118" windowWidth="25370" windowHeight="13667" activeTab="3" xr2:uid="{0A0D8D68-EFC2-4074-BDCA-85DAF874A3F1}"/>
  </bookViews>
  <sheets>
    <sheet name="Input Data" sheetId="2" r:id="rId1"/>
    <sheet name="Master Data" sheetId="1" r:id="rId2"/>
    <sheet name="Analysis" sheetId="3" r:id="rId3"/>
    <sheet name="DASHBOARD" sheetId="4" r:id="rId4"/>
  </sheets>
  <definedNames>
    <definedName name="_xlchart.v1.2" hidden="1">Analysis!$AF$3</definedName>
    <definedName name="_xlchart.v1.5" hidden="1">Analysis!$AF$3</definedName>
    <definedName name="Category">OFFSET(Analysis!$AF$2,1,0,SUBTOTAL(2,Analysis!$AG$3:$AG$7),1)</definedName>
    <definedName name="CategoryRange">OFFSET(Analysis!$AF$2,1,1,SUBTOTAL(2,Analysis!$AG$3:$AG$7),1)</definedName>
    <definedName name="Slicer_MONTH">#N/A</definedName>
    <definedName name="Slicer_PAYMENT_MODE">#N/A</definedName>
    <definedName name="Slicer_SALE_TYPE">#N/A</definedName>
    <definedName name="Slicer_YEAR">#N/A</definedName>
  </definedNames>
  <calcPr calcId="191029" iterate="1"/>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3" i="3" l="1"/>
  <c r="AJ3" i="3"/>
  <c r="AJ4" i="3"/>
  <c r="AK4" i="3"/>
  <c r="AK5" i="3"/>
  <c r="AK6" i="3"/>
  <c r="AK7" i="3"/>
  <c r="AJ5" i="3"/>
  <c r="AJ6" i="3"/>
  <c r="AJ7" i="3"/>
  <c r="W3" i="3"/>
  <c r="AC1" i="3"/>
  <c r="AD1" i="3" s="1"/>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N4" i="3"/>
  <c r="O4" i="3" s="1"/>
  <c r="N5" i="3"/>
  <c r="O5" i="3" s="1"/>
  <c r="N6" i="3"/>
  <c r="O6" i="3" s="1"/>
  <c r="N7" i="3"/>
  <c r="O7" i="3" s="1"/>
  <c r="N8" i="3"/>
  <c r="O8" i="3" s="1"/>
  <c r="N9" i="3"/>
  <c r="O9" i="3" s="1"/>
  <c r="N10" i="3"/>
  <c r="O10" i="3" s="1"/>
  <c r="N11" i="3"/>
  <c r="O11" i="3" s="1"/>
  <c r="N12" i="3"/>
  <c r="O12" i="3" s="1"/>
  <c r="N13" i="3"/>
  <c r="O13" i="3" s="1"/>
  <c r="N14" i="3"/>
  <c r="O14" i="3" s="1"/>
  <c r="N3" i="3"/>
  <c r="O3" i="3" s="1"/>
  <c r="M4" i="3"/>
  <c r="M5" i="3"/>
  <c r="M6" i="3"/>
  <c r="M7" i="3"/>
  <c r="M8" i="3"/>
  <c r="M9" i="3"/>
  <c r="M10" i="3"/>
  <c r="M11" i="3"/>
  <c r="M12" i="3"/>
  <c r="M13" i="3"/>
  <c r="M14" i="3"/>
  <c r="M3" i="3"/>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L167"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F5" i="3"/>
  <c r="F6" i="3"/>
  <c r="AI6" i="3" l="1"/>
  <c r="AI5" i="3"/>
  <c r="AI4" i="3"/>
  <c r="AI7" i="3"/>
  <c r="AI3" i="3"/>
  <c r="AC9" i="3"/>
  <c r="AC5" i="3"/>
  <c r="AC12" i="3"/>
  <c r="AC8" i="3"/>
  <c r="AC4" i="3"/>
  <c r="AC11" i="3"/>
  <c r="AC7" i="3"/>
  <c r="AC10" i="3"/>
  <c r="AC6" i="3"/>
  <c r="AB3" i="3"/>
  <c r="AC3" i="3"/>
  <c r="AB11" i="3"/>
  <c r="AB7" i="3"/>
  <c r="AB6" i="3"/>
  <c r="AB10" i="3"/>
  <c r="AB9" i="3"/>
  <c r="AB5" i="3"/>
  <c r="AB12" i="3"/>
  <c r="AB8" i="3"/>
  <c r="AB4" i="3"/>
  <c r="V35" i="3"/>
  <c r="V42" i="3"/>
  <c r="V34" i="3"/>
  <c r="V45" i="3"/>
  <c r="V41" i="3"/>
  <c r="V37" i="3"/>
  <c r="V33" i="3"/>
  <c r="V46" i="3"/>
  <c r="V38" i="3"/>
  <c r="V44" i="3"/>
  <c r="V40" i="3"/>
  <c r="V36" i="3"/>
  <c r="V32" i="3"/>
  <c r="V30" i="3"/>
  <c r="V26" i="3"/>
  <c r="V18" i="3"/>
  <c r="V10" i="3"/>
  <c r="V25" i="3"/>
  <c r="V17" i="3"/>
  <c r="V13" i="3"/>
  <c r="V5" i="3"/>
  <c r="V28" i="3"/>
  <c r="V24" i="3"/>
  <c r="V20" i="3"/>
  <c r="V16" i="3"/>
  <c r="V12" i="3"/>
  <c r="V8" i="3"/>
  <c r="V4" i="3"/>
  <c r="V22" i="3"/>
  <c r="V14" i="3"/>
  <c r="V6" i="3"/>
  <c r="V29" i="3"/>
  <c r="V21" i="3"/>
  <c r="V9" i="3"/>
  <c r="V43" i="3"/>
  <c r="V39" i="3"/>
  <c r="V31" i="3"/>
  <c r="V27" i="3"/>
  <c r="V23" i="3"/>
  <c r="V19" i="3"/>
  <c r="V15" i="3"/>
  <c r="V7" i="3"/>
  <c r="V3" i="3"/>
  <c r="V11" i="3"/>
  <c r="F7" i="3"/>
  <c r="AK1" i="3" l="1"/>
  <c r="AJ1" i="3"/>
  <c r="Z1" i="3"/>
  <c r="Y1" i="3"/>
  <c r="X1" i="3"/>
  <c r="W1" i="3"/>
</calcChain>
</file>

<file path=xl/sharedStrings.xml><?xml version="1.0" encoding="utf-8"?>
<sst xmlns="http://schemas.openxmlformats.org/spreadsheetml/2006/main" count="1937" uniqueCount="144">
  <si>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</si>
  <si>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</si>
  <si>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</si>
  <si>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</si>
  <si>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</si>
  <si>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</si>
  <si>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</si>
  <si>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</si>
  <si>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</si>
  <si>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</si>
  <si>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</si>
  <si>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</si>
  <si>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</si>
  <si>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</si>
  <si>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</si>
  <si>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</si>
  <si>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</si>
  <si>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</si>
  <si>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</si>
  <si>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</si>
  <si>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</si>
  <si>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</si>
  <si>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</si>
  <si>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</si>
  <si>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</si>
  <si>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</si>
  <si>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</si>
  <si>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</si>
  <si>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</si>
  <si>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</si>
  <si>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</si>
  <si>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</si>
  <si>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</si>
  <si>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</si>
  <si>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</si>
  <si>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</si>
  <si>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</si>
  <si>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</si>
  <si>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</si>
  <si>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</si>
  <si>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</si>
  <si>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</si>
  <si>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</si>
  <si>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</si>
  <si>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</si>
  <si>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</si>
  <si>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</si>
  <si>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</si>
  <si>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</si>
  <si>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</si>
  <si>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</si>
  <si>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</si>
  <si>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</si>
  <si>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</si>
  <si>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</si>
  <si>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</si>
  <si>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</si>
  <si>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</si>
  <si>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</si>
  <si>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</si>
  <si>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</si>
  <si>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</si>
  <si>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</si>
  <si>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</si>
  <si>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</si>
  <si>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</si>
  <si>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</si>
  <si>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</si>
  <si>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</si>
  <si>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</si>
  <si>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</si>
  <si>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</si>
  <si>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</si>
  <si>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</si>
  <si>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</si>
  <si>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</si>
  <si>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</si>
  <si>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</si>
  <si>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</si>
  <si>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</si>
  <si>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</si>
  <si>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</si>
  <si>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</si>
  <si>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</si>
  <si>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</si>
  <si>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</si>
  <si>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</si>
  <si>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</si>
  <si>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</si>
  <si>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</si>
  <si>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</si>
  <si>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</si>
  <si>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</si>
  <si>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</si>
  <si>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</si>
  <si>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</si>
  <si>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</si>
  <si>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</si>
  <si>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</si>
  <si>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</si>
  <si>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</si>
  <si>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</si>
  <si>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</si>
  <si>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</si>
  <si>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</si>
  <si>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</si>
  <si>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</si>
  <si>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</si>
  <si>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</si>
  <si>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</si>
  <si>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</si>
  <si>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</si>
  <si>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</si>
  <si>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</si>
  <si>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</si>
  <si>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</si>
  <si>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</si>
  <si>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</si>
  <si>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</si>
  <si>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Sum of TOTAL SELLING VALUE</t>
  </si>
  <si>
    <t>Sum of TOTAL BUYING VALUE</t>
  </si>
  <si>
    <t>Day</t>
  </si>
  <si>
    <t>TOTAL</t>
  </si>
  <si>
    <t xml:space="preserve"> VALUE</t>
  </si>
  <si>
    <t>Jan</t>
  </si>
  <si>
    <t>Feb</t>
  </si>
  <si>
    <t>Mar</t>
  </si>
  <si>
    <t>Apr</t>
  </si>
  <si>
    <t>May</t>
  </si>
  <si>
    <t>Jun</t>
  </si>
  <si>
    <t>Jul</t>
  </si>
  <si>
    <t>Aug</t>
  </si>
  <si>
    <t>Sep</t>
  </si>
  <si>
    <t>Oct</t>
  </si>
  <si>
    <t>Nov</t>
  </si>
  <si>
    <t>Dec</t>
  </si>
  <si>
    <t>Month</t>
  </si>
  <si>
    <t/>
  </si>
  <si>
    <t>Sum of QUANTITY</t>
  </si>
  <si>
    <t>Total Sales</t>
  </si>
  <si>
    <t>Total Profit</t>
  </si>
  <si>
    <t>Profit %</t>
  </si>
  <si>
    <t>Sales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</si>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</sst>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0.00"/>
    <numFmt numFmtId="166" formatCode="[$$-409]#,##0_ ;[Red]\-[$$-409]#,##0\ "/>
    <numFmt numFmtId="167" formatCode="[$$-409]#,##0"/>
  </numFmts>
  <fonts count="4" x14ac:knownFonts="1">
    <font>
      <sz val="11"/>
      <color theme="1"/>
      <name val="Calibri"/>
      <family val="2"/>
      <scheme val="minor"/>
    </font>
    <font>
      <b/>
      <sz val="11"/>
      <color rgb="FF7030A0"/>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right/>
      <top/>
      <bottom style="medium">
        <color rgb="FF7030A0"/>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0" fillId="0" borderId="0" xfId="0" applyNumberFormat="1"/>
    <xf numFmtId="0" fontId="3" fillId="6" borderId="2" xfId="0" applyFont="1" applyFill="1" applyBorder="1"/>
    <xf numFmtId="0" fontId="0" fillId="0" borderId="0" xfId="0" pivotButton="1"/>
    <xf numFmtId="0" fontId="0" fillId="0" borderId="0" xfId="0" applyAlignment="1">
      <alignment horizontal="left"/>
    </xf>
    <xf numFmtId="9" fontId="0" fillId="0" borderId="0" xfId="1" applyFont="1"/>
    <xf numFmtId="166" fontId="0" fillId="0" borderId="0" xfId="0" applyNumberFormat="1"/>
    <xf numFmtId="167" fontId="0" fillId="0" borderId="0" xfId="0" applyNumberFormat="1"/>
    <xf numFmtId="0" fontId="3" fillId="0" borderId="0" xfId="0" applyFont="1"/>
    <xf numFmtId="0" fontId="0" fillId="0" borderId="0" xfId="0" applyNumberFormat="1"/>
  </cellXfs>
  <cellStyles count="2">
    <cellStyle name="Normal" xfId="0" builtinId="0"/>
    <cellStyle name="Percent" xfId="1" builtinId="5"/>
  </cellStyles>
  <dxfs count="31">
    <dxf>
      <font>
        <b/>
        <i val="0"/>
        <sz val="14"/>
        <color theme="0"/>
        <name val="Poppins"/>
      </font>
      <fill>
        <patternFill>
          <bgColor theme="9"/>
        </patternFill>
      </fill>
      <border diagonalUp="0" diagonalDown="0">
        <left/>
        <right/>
        <top/>
        <bottom/>
        <vertical/>
        <horizontal/>
      </border>
    </dxf>
    <dxf>
      <font>
        <b/>
        <i val="0"/>
        <sz val="12"/>
        <color theme="0"/>
        <name val="Poppins"/>
      </font>
      <fill>
        <patternFill>
          <bgColor theme="9"/>
        </patternFill>
      </fill>
      <border diagonalUp="0" diagonalDown="0">
        <left/>
        <right/>
        <top/>
        <bottom/>
        <vertical/>
        <horizontal/>
      </border>
    </dxf>
    <dxf>
      <font>
        <b/>
        <i val="0"/>
        <sz val="10"/>
        <color theme="1"/>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s>
  <tableStyles count="2" defaultTableStyle="TableStyleMedium2" defaultPivotStyle="PivotStyleLight16">
    <tableStyle name="SLICER" pivot="0" table="0" count="10" xr9:uid="{C2F4C036-8D81-403F-996E-142D1BF5CBC0}">
      <tableStyleElement type="wholeTable" dxfId="1"/>
      <tableStyleElement type="headerRow" dxfId="0"/>
    </tableStyle>
    <tableStyle name="SLICER." pivot="0" table="0" count="10" xr9:uid="{CFAA15A5-F1D7-4672-9E71-213BE5E89A1F}">
      <tableStyleElement type="wholeTable" dxfId="3"/>
      <tableStyleElement type="headerRow" dxfId="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[Sales-Dashboard-project.xlsx]Analysis!Daily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gs>
              <a:gs pos="85000">
                <a:schemeClr val="accent1">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c:f>
              <c:strCache>
                <c:ptCount val="1"/>
                <c:pt idx="0">
                  <c:v>Total</c:v>
                </c:pt>
              </c:strCache>
            </c:strRef>
          </c:tx>
          <c:spPr>
            <a:gradFill flip="none" rotWithShape="1">
              <a:gsLst>
                <a:gs pos="0">
                  <a:schemeClr val="bg1"/>
                </a:gs>
                <a:gs pos="85000">
                  <a:schemeClr val="accent1">
                    <a:lumMod val="75000"/>
                  </a:schemeClr>
                </a:gs>
              </a:gsLst>
              <a:lin ang="16200000" scaled="1"/>
              <a:tileRect/>
            </a:gradFill>
            <a:ln>
              <a:noFill/>
            </a:ln>
            <a:effectLst/>
          </c:spPr>
          <c:cat>
            <c:strRef>
              <c:f>Analysis!$A$3:$A$33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Analysis!$B$3:$B$33</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5F00-4AC3-B583-8DCA1E7E5E88}"/>
            </c:ext>
          </c:extLst>
        </c:ser>
        <c:dLbls>
          <c:showLegendKey val="0"/>
          <c:showVal val="0"/>
          <c:showCatName val="0"/>
          <c:showSerName val="0"/>
          <c:showPercent val="0"/>
          <c:showBubbleSize val="0"/>
        </c:dLbls>
        <c:axId val="1131512224"/>
        <c:axId val="1131509344"/>
      </c:areaChart>
      <c:catAx>
        <c:axId val="113151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1131509344"/>
        <c:crosses val="autoZero"/>
        <c:auto val="1"/>
        <c:lblAlgn val="ctr"/>
        <c:lblOffset val="100"/>
        <c:noMultiLvlLbl val="0"/>
      </c:catAx>
      <c:valAx>
        <c:axId val="1131509344"/>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113151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Analysis!$M$2</c:f>
              <c:strCache>
                <c:ptCount val="1"/>
                <c:pt idx="0">
                  <c:v>Sales</c:v>
                </c:pt>
              </c:strCache>
            </c:strRef>
          </c:tx>
          <c:spPr>
            <a:gradFill>
              <a:gsLst>
                <a:gs pos="0">
                  <a:schemeClr val="bg1"/>
                </a:gs>
                <a:gs pos="85000">
                  <a:schemeClr val="accent1">
                    <a:lumMod val="75000"/>
                  </a:schemeClr>
                </a:gs>
              </a:gsLst>
              <a:lin ang="16200000" scaled="1"/>
            </a:gradFill>
            <a:ln>
              <a:noFill/>
            </a:ln>
            <a:effectLst/>
          </c:spPr>
          <c:invertIfNegative val="0"/>
          <c:cat>
            <c:strRef>
              <c:f>Analysis!$L$3:$L$14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AD8B-4EA0-9A0A-CC01B0F66DDD}"/>
            </c:ext>
          </c:extLst>
        </c:ser>
        <c:ser>
          <c:idx val="1"/>
          <c:order val="1"/>
          <c:tx>
            <c:strRef>
              <c:f>Analysis!$N$2</c:f>
              <c:strCache>
                <c:ptCount val="1"/>
                <c:pt idx="0">
                  <c:v>Profit</c:v>
                </c:pt>
              </c:strCache>
            </c:strRef>
          </c:tx>
          <c:spPr>
            <a:solidFill>
              <a:schemeClr val="accent2"/>
            </a:solidFill>
            <a:ln>
              <a:noFill/>
            </a:ln>
            <a:effectLst/>
          </c:spPr>
          <c:invertIfNegative val="0"/>
          <c:dLbls>
            <c:dLbl>
              <c:idx val="0"/>
              <c:tx>
                <c:rich>
                  <a:bodyPr/>
                  <a:lstStyle/>
                  <a:p>
                    <a:fld id="{381F72B6-C904-43A9-ADE3-0BBE4E2973C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D8B-4EA0-9A0A-CC01B0F66DDD}"/>
                </c:ext>
              </c:extLst>
            </c:dLbl>
            <c:dLbl>
              <c:idx val="1"/>
              <c:tx>
                <c:rich>
                  <a:bodyPr/>
                  <a:lstStyle/>
                  <a:p>
                    <a:fld id="{1BBC561C-493D-4A51-8C9F-540259DB18D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D8B-4EA0-9A0A-CC01B0F66DDD}"/>
                </c:ext>
              </c:extLst>
            </c:dLbl>
            <c:dLbl>
              <c:idx val="2"/>
              <c:tx>
                <c:rich>
                  <a:bodyPr/>
                  <a:lstStyle/>
                  <a:p>
                    <a:fld id="{AEA8E2E2-9EE5-424C-B8B1-95E2BE5D710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D8B-4EA0-9A0A-CC01B0F66DDD}"/>
                </c:ext>
              </c:extLst>
            </c:dLbl>
            <c:dLbl>
              <c:idx val="3"/>
              <c:tx>
                <c:rich>
                  <a:bodyPr/>
                  <a:lstStyle/>
                  <a:p>
                    <a:fld id="{5C68A065-3098-417F-ABAD-8BDE2D71F1F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D8B-4EA0-9A0A-CC01B0F66DDD}"/>
                </c:ext>
              </c:extLst>
            </c:dLbl>
            <c:dLbl>
              <c:idx val="4"/>
              <c:tx>
                <c:rich>
                  <a:bodyPr/>
                  <a:lstStyle/>
                  <a:p>
                    <a:fld id="{A23BD064-6E2A-4B16-A4F6-8597B97E2DF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D8B-4EA0-9A0A-CC01B0F66DDD}"/>
                </c:ext>
              </c:extLst>
            </c:dLbl>
            <c:dLbl>
              <c:idx val="5"/>
              <c:tx>
                <c:rich>
                  <a:bodyPr/>
                  <a:lstStyle/>
                  <a:p>
                    <a:fld id="{5CD47A3D-8CDF-476A-8D60-9DF269C1A24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D8B-4EA0-9A0A-CC01B0F66DDD}"/>
                </c:ext>
              </c:extLst>
            </c:dLbl>
            <c:dLbl>
              <c:idx val="6"/>
              <c:tx>
                <c:rich>
                  <a:bodyPr/>
                  <a:lstStyle/>
                  <a:p>
                    <a:fld id="{062B7B73-FA43-439E-8624-7E60512FB28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D8B-4EA0-9A0A-CC01B0F66DDD}"/>
                </c:ext>
              </c:extLst>
            </c:dLbl>
            <c:dLbl>
              <c:idx val="7"/>
              <c:tx>
                <c:rich>
                  <a:bodyPr/>
                  <a:lstStyle/>
                  <a:p>
                    <a:fld id="{C661A1B6-A309-434C-AD81-AFD56D2042A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D8B-4EA0-9A0A-CC01B0F66DDD}"/>
                </c:ext>
              </c:extLst>
            </c:dLbl>
            <c:dLbl>
              <c:idx val="8"/>
              <c:tx>
                <c:rich>
                  <a:bodyPr/>
                  <a:lstStyle/>
                  <a:p>
                    <a:fld id="{DFE5F6FC-C850-4CBB-B817-DC4A66B6126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D8B-4EA0-9A0A-CC01B0F66DDD}"/>
                </c:ext>
              </c:extLst>
            </c:dLbl>
            <c:dLbl>
              <c:idx val="9"/>
              <c:tx>
                <c:rich>
                  <a:bodyPr/>
                  <a:lstStyle/>
                  <a:p>
                    <a:fld id="{75484874-F6E3-4325-94E2-6256DDE21D5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D8B-4EA0-9A0A-CC01B0F66DDD}"/>
                </c:ext>
              </c:extLst>
            </c:dLbl>
            <c:dLbl>
              <c:idx val="10"/>
              <c:tx>
                <c:rich>
                  <a:bodyPr/>
                  <a:lstStyle/>
                  <a:p>
                    <a:fld id="{9616B435-9D27-4852-BC7E-8627B6D9E58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D8B-4EA0-9A0A-CC01B0F66DDD}"/>
                </c:ext>
              </c:extLst>
            </c:dLbl>
            <c:dLbl>
              <c:idx val="11"/>
              <c:tx>
                <c:rich>
                  <a:bodyPr/>
                  <a:lstStyle/>
                  <a:p>
                    <a:fld id="{6155A560-A596-4D02-8467-782C4D413A4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D8B-4EA0-9A0A-CC01B0F66DD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Analysis!$L$3:$L$14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Analysis!$N$3:$N$14</c:f>
              <c:numCache>
                <c:formatCode>[$$-409]#,##0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Analysis!$O$3:$O$14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AD8B-4EA0-9A0A-CC01B0F66DDD}"/>
            </c:ext>
          </c:extLst>
        </c:ser>
        <c:dLbls>
          <c:showLegendKey val="0"/>
          <c:showVal val="0"/>
          <c:showCatName val="0"/>
          <c:showSerName val="0"/>
          <c:showPercent val="0"/>
          <c:showBubbleSize val="0"/>
        </c:dLbls>
        <c:gapWidth val="50"/>
        <c:overlap val="100"/>
        <c:axId val="1780360432"/>
        <c:axId val="1780363312"/>
      </c:barChart>
      <c:catAx>
        <c:axId val="178036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1780363312"/>
        <c:crosses val="autoZero"/>
        <c:auto val="1"/>
        <c:lblAlgn val="ctr"/>
        <c:lblOffset val="100"/>
        <c:noMultiLvlLbl val="0"/>
      </c:catAx>
      <c:valAx>
        <c:axId val="178036331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17803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120730832262199"/>
          <c:y val="5.6557170311574548E-2"/>
          <c:w val="0.64164272804553668"/>
          <c:h val="0.88688565937685093"/>
        </c:manualLayout>
      </c:layout>
      <c:barChart>
        <c:barDir val="bar"/>
        <c:grouping val="clustered"/>
        <c:varyColors val="0"/>
        <c:ser>
          <c:idx val="0"/>
          <c:order val="0"/>
          <c:spPr>
            <a:gradFill flip="none" rotWithShape="1">
              <a:gsLst>
                <a:gs pos="0">
                  <a:schemeClr val="bg1"/>
                </a:gs>
                <a:gs pos="85000">
                  <a:schemeClr val="accent1">
                    <a:lumMod val="7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Analysis!$AB$3:$AB$12</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Analysis!$AC$3:$AC$12</c:f>
              <c:numCache>
                <c:formatCode>[$$-409]#,##0</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AF22-4533-B3CF-815C548764BD}"/>
            </c:ext>
          </c:extLst>
        </c:ser>
        <c:dLbls>
          <c:dLblPos val="outEnd"/>
          <c:showLegendKey val="0"/>
          <c:showVal val="1"/>
          <c:showCatName val="0"/>
          <c:showSerName val="0"/>
          <c:showPercent val="0"/>
          <c:showBubbleSize val="0"/>
        </c:dLbls>
        <c:gapWidth val="50"/>
        <c:axId val="2044862464"/>
        <c:axId val="2044869664"/>
      </c:barChart>
      <c:catAx>
        <c:axId val="204486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2044869664"/>
        <c:crosses val="autoZero"/>
        <c:auto val="1"/>
        <c:lblAlgn val="ctr"/>
        <c:lblOffset val="100"/>
        <c:noMultiLvlLbl val="0"/>
      </c:catAx>
      <c:valAx>
        <c:axId val="2044869664"/>
        <c:scaling>
          <c:orientation val="minMax"/>
        </c:scaling>
        <c:delete val="1"/>
        <c:axPos val="b"/>
        <c:numFmt formatCode="[$$-409]#,##0" sourceLinked="1"/>
        <c:majorTickMark val="none"/>
        <c:minorTickMark val="none"/>
        <c:tickLblPos val="nextTo"/>
        <c:crossAx val="204486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[Sales-Dashboard-project.xlsx]Analysis!SalesType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
        <c:idx val="11"/>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5155988092680422"/>
          <c:y val="3.441692602519273E-2"/>
          <c:w val="0.74216303698633668"/>
          <c:h val="0.60088018869449167"/>
        </c:manualLayout>
      </c:layout>
      <c:pieChart>
        <c:varyColors val="1"/>
        <c:ser>
          <c:idx val="0"/>
          <c:order val="0"/>
          <c:tx>
            <c:strRef>
              <c:f>Analysis!$AN$2</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471-404E-B19B-B98BDAE438E8}"/>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471-404E-B19B-B98BDAE438E8}"/>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9471-404E-B19B-B98BDAE438E8}"/>
              </c:ext>
            </c:extLst>
          </c:dPt>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Analysis!$AM$3:$AM$5</c:f>
              <c:strCache>
                <c:ptCount val="3"/>
                <c:pt idx="0">
                  <c:v>Direct Sales</c:v>
                </c:pt>
                <c:pt idx="1">
                  <c:v>Online</c:v>
                </c:pt>
                <c:pt idx="2">
                  <c:v>Wholesaler</c:v>
                </c:pt>
              </c:strCache>
            </c:strRef>
          </c:cat>
          <c:val>
            <c:numRef>
              <c:f>Analysis!$AN$3:$AN$5</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9471-404E-B19B-B98BDAE438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2698078429250781"/>
          <c:y val="0.65517908486267606"/>
          <c:w val="0.55270964010667634"/>
          <c:h val="0.344820915137323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000">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[Sales-Dashboard-project.xlsx]Analysis!PaymentMode</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38100" dir="2700000" algn="tl" rotWithShape="0">
              <a:prstClr val="black">
                <a:alpha val="40000"/>
              </a:prstClr>
            </a:outerShdw>
          </a:effectLst>
        </c:spPr>
      </c:pivotFmt>
      <c:pivotFmt>
        <c:idx val="8"/>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7.6862088293534719E-2"/>
          <c:y val="6.5597254046181525E-2"/>
          <c:w val="0.86042848562446994"/>
          <c:h val="0.73887219343778665"/>
        </c:manualLayout>
      </c:layout>
      <c:pieChart>
        <c:varyColors val="1"/>
        <c:ser>
          <c:idx val="0"/>
          <c:order val="0"/>
          <c:tx>
            <c:strRef>
              <c:f>Analysis!$AQ$2</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A0F-4C83-A9D1-922318BEF12F}"/>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A0F-4C83-A9D1-922318BEF12F}"/>
              </c:ext>
            </c:extLst>
          </c:dPt>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Analysis!$AP$3:$AP$4</c:f>
              <c:strCache>
                <c:ptCount val="2"/>
                <c:pt idx="0">
                  <c:v>Cash</c:v>
                </c:pt>
                <c:pt idx="1">
                  <c:v>Online</c:v>
                </c:pt>
              </c:strCache>
            </c:strRef>
          </c:cat>
          <c:val>
            <c:numRef>
              <c:f>Analysis!$AQ$3:$AQ$4</c:f>
              <c:numCache>
                <c:formatCode>[$$-409]#,##0.00</c:formatCode>
                <c:ptCount val="2"/>
                <c:pt idx="0">
                  <c:v>199516.90000000008</c:v>
                </c:pt>
                <c:pt idx="1">
                  <c:v>201895.01999999993</c:v>
                </c:pt>
              </c:numCache>
            </c:numRef>
          </c:val>
          <c:extLst>
            <c:ext xmlns:c16="http://schemas.microsoft.com/office/drawing/2014/chart" uri="{C3380CC4-5D6E-409C-BE32-E72D297353CC}">
              <c16:uniqueId val="{00000004-2A0F-4C83-A9D1-922318BEF1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000">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E6637A2B-6EA8-40C4-802F-6921556B486D}">
          <cx:tx>
            <cx:txData>
              <cx:f>_xlchart.v1.2</cx:f>
              <cx:v>Category01</cx:v>
            </cx:txData>
          </cx:tx>
          <cx:spPr>
            <a:effectLst>
              <a:outerShdw blurRad="50800" dist="38100" dir="2700000" algn="tl" rotWithShape="0">
                <a:prstClr val="black">
                  <a:alpha val="40000"/>
                </a:prstClr>
              </a:outerShdw>
            </a:effectLst>
          </cx:spPr>
          <cx:dataPt idx="0">
            <cx:spPr>
              <a:ln>
                <a:noFill/>
              </a:ln>
            </cx:spPr>
          </cx:dataPt>
          <cx:dataPt idx="1">
            <cx:spPr>
              <a:ln>
                <a:noFill/>
              </a:ln>
            </cx:spPr>
          </cx:dataPt>
          <cx:dataPt idx="2">
            <cx:spPr>
              <a:ln>
                <a:noFill/>
              </a:ln>
            </cx:spPr>
          </cx:dataPt>
          <cx:dataPt idx="3">
            <cx:spPr>
              <a:ln>
                <a:noFill/>
              </a:ln>
            </cx:spPr>
          </cx:dataPt>
          <cx:dataPt idx="4">
            <cx:spPr>
              <a:ln>
                <a:noFill/>
              </a:ln>
            </cx:spPr>
          </cx:dataPt>
          <cx:dataLabels pos="inEnd">
            <cx:txPr>
              <a:bodyPr vertOverflow="overflow" horzOverflow="overflow" wrap="square" lIns="0" tIns="0" rIns="0" bIns="0"/>
              <a:lstStyle/>
              <a:p>
                <a:pPr algn="ctr" rtl="0">
                  <a:defRPr sz="900" b="0" i="0">
                    <a:solidFill>
                      <a:schemeClr val="bg1"/>
                    </a:solidFill>
                    <a:latin typeface="Poppins" panose="00000500000000000000" pitchFamily="2" charset="0"/>
                    <a:ea typeface="Poppins" panose="00000500000000000000" pitchFamily="2" charset="0"/>
                    <a:cs typeface="Poppins" panose="00000500000000000000" pitchFamily="2" charset="0"/>
                  </a:defRPr>
                </a:pPr>
                <a:endParaRPr lang="en-IN">
                  <a:solidFill>
                    <a:schemeClr val="bg1"/>
                  </a:solidFill>
                  <a:latin typeface="Poppins" panose="00000500000000000000" pitchFamily="2" charset="0"/>
                  <a:cs typeface="Poppins" panose="00000500000000000000" pitchFamily="2" charset="0"/>
                </a:endParaRPr>
              </a:p>
            </cx:txPr>
            <cx:visibility seriesName="0" categoryName="1" value="0"/>
            <cx:dataLabel idx="0">
              <cx:visibility seriesName="0" categoryName="1" value="1"/>
              <cx:separator>
</cx:separator>
            </cx:dataLabel>
            <cx:dataLabel idx="1">
              <cx:visibility seriesName="0" categoryName="1" value="1"/>
              <cx:separator>
</cx:separator>
            </cx:dataLabel>
            <cx:dataLabel idx="2">
              <cx:visibility seriesName="0" categoryName="1" value="1"/>
              <cx:separator>
</cx:separator>
            </cx:dataLabel>
            <cx:dataLabel idx="3">
              <cx:visibility seriesName="0" categoryName="1" value="1"/>
              <cx:separator>
</cx:separator>
            </cx:dataLabel>
            <cx:dataLabel idx="4">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M$1" lockText="1" noThreeD="1"/>
</file>

<file path=xl/ctrlProps/ctrlProp2.xml><?xml version="1.0" encoding="utf-8"?>
<formControlPr xmlns="http://schemas.microsoft.com/office/spreadsheetml/2009/9/main" objectType="CheckBox" checked="Checked" fmlaLink="$N$1" lockText="1" noThreeD="1"/>
</file>

<file path=xl/ctrlProps/ctrlProp3.xml><?xml version="1.0" encoding="utf-8"?>
<formControlPr xmlns="http://schemas.microsoft.com/office/spreadsheetml/2009/9/main" objectType="CheckBox" checked="Checked" fmlaLink="$O$1" lockText="1" noThreeD="1"/>
</file>

<file path=xl/ctrlProps/ctrlProp4.xml><?xml version="1.0" encoding="utf-8"?>
<formControlPr xmlns="http://schemas.microsoft.com/office/spreadsheetml/2009/9/main" objectType="Scroll" dx="24" fmlaLink="Analysis!$AB$1" max="44" min="1" page="10"/>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microsoft.com/office/2014/relationships/chartEx" Target="../charts/chartEx1.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chart" Target="../charts/chart2.xml"/><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11871</xdr:colOff>
      <xdr:row>0</xdr:row>
      <xdr:rowOff>0</xdr:rowOff>
    </xdr:from>
    <xdr:to>
      <xdr:col>23</xdr:col>
      <xdr:colOff>23750</xdr:colOff>
      <xdr:row>45</xdr:row>
      <xdr:rowOff>11874</xdr:rowOff>
    </xdr:to>
    <xdr:grpSp>
      <xdr:nvGrpSpPr>
        <xdr:cNvPr id="4108" name="BLACK&amp;WHITE">
          <a:extLst>
            <a:ext uri="{FF2B5EF4-FFF2-40B4-BE49-F238E27FC236}">
              <a16:creationId xmlns:a16="http://schemas.microsoft.com/office/drawing/2014/main" id="{4D8A1EF6-F918-7E7F-4172-FA226885C155}"/>
            </a:ext>
          </a:extLst>
        </xdr:cNvPr>
        <xdr:cNvGrpSpPr>
          <a:grpSpLocks noChangeAspect="1"/>
        </xdr:cNvGrpSpPr>
      </xdr:nvGrpSpPr>
      <xdr:grpSpPr>
        <a:xfrm>
          <a:off x="11871" y="0"/>
          <a:ext cx="15307298" cy="8428510"/>
          <a:chOff x="11875" y="0"/>
          <a:chExt cx="12192000" cy="6858000"/>
        </a:xfrm>
      </xdr:grpSpPr>
      <xdr:sp macro="" textlink="">
        <xdr:nvSpPr>
          <xdr:cNvPr id="105" name="Rectangle: Rounded Corners 104">
            <a:extLst>
              <a:ext uri="{FF2B5EF4-FFF2-40B4-BE49-F238E27FC236}">
                <a16:creationId xmlns:a16="http://schemas.microsoft.com/office/drawing/2014/main" id="{D2368636-D421-0253-F80A-AF500EE081A4}"/>
              </a:ext>
            </a:extLst>
          </xdr:cNvPr>
          <xdr:cNvSpPr/>
        </xdr:nvSpPr>
        <xdr:spPr>
          <a:xfrm>
            <a:off x="11875" y="0"/>
            <a:ext cx="12192000" cy="6858000"/>
          </a:xfrm>
          <a:prstGeom prst="roundRect">
            <a:avLst>
              <a:gd name="adj" fmla="val 1930"/>
            </a:avLst>
          </a:prstGeom>
          <a:solidFill>
            <a:schemeClr val="tx2">
              <a:lumMod val="75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6" name="Trapezoid 105">
            <a:extLst>
              <a:ext uri="{FF2B5EF4-FFF2-40B4-BE49-F238E27FC236}">
                <a16:creationId xmlns:a16="http://schemas.microsoft.com/office/drawing/2014/main" id="{E8F815E4-9109-C66E-E60D-DBBAF1A66765}"/>
              </a:ext>
            </a:extLst>
          </xdr:cNvPr>
          <xdr:cNvSpPr/>
        </xdr:nvSpPr>
        <xdr:spPr>
          <a:xfrm>
            <a:off x="10691875" y="1076400"/>
            <a:ext cx="1332000" cy="241200"/>
          </a:xfrm>
          <a:prstGeom prst="trapezoid">
            <a:avLst>
              <a:gd name="adj" fmla="val 4894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7" name="Trapezoid 106">
            <a:extLst>
              <a:ext uri="{FF2B5EF4-FFF2-40B4-BE49-F238E27FC236}">
                <a16:creationId xmlns:a16="http://schemas.microsoft.com/office/drawing/2014/main" id="{BFE25AAE-1B2D-6DBF-20A7-167004F03ED3}"/>
              </a:ext>
            </a:extLst>
          </xdr:cNvPr>
          <xdr:cNvSpPr/>
        </xdr:nvSpPr>
        <xdr:spPr>
          <a:xfrm>
            <a:off x="9185875" y="1074600"/>
            <a:ext cx="1332000" cy="241200"/>
          </a:xfrm>
          <a:prstGeom prst="trapezoid">
            <a:avLst>
              <a:gd name="adj" fmla="val 4833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8" name="Rectangle: Rounded Corners 107">
            <a:extLst>
              <a:ext uri="{FF2B5EF4-FFF2-40B4-BE49-F238E27FC236}">
                <a16:creationId xmlns:a16="http://schemas.microsoft.com/office/drawing/2014/main" id="{94828648-E43A-3BC9-D079-F761A7F3A58D}"/>
              </a:ext>
            </a:extLst>
          </xdr:cNvPr>
          <xdr:cNvSpPr/>
        </xdr:nvSpPr>
        <xdr:spPr>
          <a:xfrm>
            <a:off x="191875" y="180000"/>
            <a:ext cx="4860000" cy="720000"/>
          </a:xfrm>
          <a:prstGeom prst="roundRect">
            <a:avLst>
              <a:gd name="adj" fmla="val 7309"/>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9" name="Rectangle: Rounded Corners 108">
            <a:extLst>
              <a:ext uri="{FF2B5EF4-FFF2-40B4-BE49-F238E27FC236}">
                <a16:creationId xmlns:a16="http://schemas.microsoft.com/office/drawing/2014/main" id="{BBB30A89-A271-44E0-A0EE-008A3FD2A937}"/>
              </a:ext>
            </a:extLst>
          </xdr:cNvPr>
          <xdr:cNvSpPr/>
        </xdr:nvSpPr>
        <xdr:spPr>
          <a:xfrm>
            <a:off x="5204275" y="180000"/>
            <a:ext cx="6819600" cy="720000"/>
          </a:xfrm>
          <a:prstGeom prst="roundRect">
            <a:avLst>
              <a:gd name="adj" fmla="val 5972"/>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0" name="Rectangle: Rounded Corners 109">
            <a:extLst>
              <a:ext uri="{FF2B5EF4-FFF2-40B4-BE49-F238E27FC236}">
                <a16:creationId xmlns:a16="http://schemas.microsoft.com/office/drawing/2014/main" id="{F54AE37D-5E16-4116-40B6-67C0D5DDF22D}"/>
              </a:ext>
            </a:extLst>
          </xdr:cNvPr>
          <xdr:cNvSpPr/>
        </xdr:nvSpPr>
        <xdr:spPr>
          <a:xfrm>
            <a:off x="191875" y="1080000"/>
            <a:ext cx="1260000" cy="1080000"/>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1" name="Rectangle: Rounded Corners 110">
            <a:extLst>
              <a:ext uri="{FF2B5EF4-FFF2-40B4-BE49-F238E27FC236}">
                <a16:creationId xmlns:a16="http://schemas.microsoft.com/office/drawing/2014/main" id="{72E916D3-CCC3-E792-7377-680538D6F7C4}"/>
              </a:ext>
            </a:extLst>
          </xdr:cNvPr>
          <xdr:cNvSpPr/>
        </xdr:nvSpPr>
        <xdr:spPr>
          <a:xfrm>
            <a:off x="191875" y="2340000"/>
            <a:ext cx="1260000" cy="3240000"/>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2" name="Rectangle: Rounded Corners 111">
            <a:extLst>
              <a:ext uri="{FF2B5EF4-FFF2-40B4-BE49-F238E27FC236}">
                <a16:creationId xmlns:a16="http://schemas.microsoft.com/office/drawing/2014/main" id="{C9FEE257-1260-CFB7-0F3D-32A229674757}"/>
              </a:ext>
            </a:extLst>
          </xdr:cNvPr>
          <xdr:cNvSpPr/>
        </xdr:nvSpPr>
        <xdr:spPr>
          <a:xfrm>
            <a:off x="191875" y="5760000"/>
            <a:ext cx="1260000" cy="900000"/>
          </a:xfrm>
          <a:prstGeom prst="roundRect">
            <a:avLst>
              <a:gd name="adj" fmla="val 50000"/>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3" name="Rectangle: Rounded Corners 112">
            <a:extLst>
              <a:ext uri="{FF2B5EF4-FFF2-40B4-BE49-F238E27FC236}">
                <a16:creationId xmlns:a16="http://schemas.microsoft.com/office/drawing/2014/main" id="{E6CF6DB9-0F23-E58C-F252-A135BFC48E7B}"/>
              </a:ext>
            </a:extLst>
          </xdr:cNvPr>
          <xdr:cNvSpPr/>
        </xdr:nvSpPr>
        <xdr:spPr>
          <a:xfrm>
            <a:off x="1631875" y="1080000"/>
            <a:ext cx="2340000" cy="720000"/>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4" name="Rectangle: Rounded Corners 113">
            <a:extLst>
              <a:ext uri="{FF2B5EF4-FFF2-40B4-BE49-F238E27FC236}">
                <a16:creationId xmlns:a16="http://schemas.microsoft.com/office/drawing/2014/main" id="{0CBDFBF3-5622-C763-E25F-077D275FD01D}"/>
              </a:ext>
            </a:extLst>
          </xdr:cNvPr>
          <xdr:cNvSpPr/>
        </xdr:nvSpPr>
        <xdr:spPr>
          <a:xfrm>
            <a:off x="4151875" y="1080000"/>
            <a:ext cx="2340000" cy="720000"/>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5" name="Rectangle: Rounded Corners 114">
            <a:extLst>
              <a:ext uri="{FF2B5EF4-FFF2-40B4-BE49-F238E27FC236}">
                <a16:creationId xmlns:a16="http://schemas.microsoft.com/office/drawing/2014/main" id="{AD78A290-3A28-E9F6-3746-E6EC5F4A93C3}"/>
              </a:ext>
            </a:extLst>
          </xdr:cNvPr>
          <xdr:cNvSpPr/>
        </xdr:nvSpPr>
        <xdr:spPr>
          <a:xfrm>
            <a:off x="6671875" y="1080000"/>
            <a:ext cx="2340000" cy="720000"/>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6" name="Rectangle: Rounded Corners 115">
            <a:extLst>
              <a:ext uri="{FF2B5EF4-FFF2-40B4-BE49-F238E27FC236}">
                <a16:creationId xmlns:a16="http://schemas.microsoft.com/office/drawing/2014/main" id="{3D09B1A1-0497-1E96-83D2-657E6B4CAF77}"/>
              </a:ext>
            </a:extLst>
          </xdr:cNvPr>
          <xdr:cNvSpPr/>
        </xdr:nvSpPr>
        <xdr:spPr>
          <a:xfrm>
            <a:off x="1631875" y="1980000"/>
            <a:ext cx="3240000" cy="2340000"/>
          </a:xfrm>
          <a:prstGeom prst="roundRect">
            <a:avLst>
              <a:gd name="adj" fmla="val 2887"/>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7" name="Rectangle: Rounded Corners 116">
            <a:extLst>
              <a:ext uri="{FF2B5EF4-FFF2-40B4-BE49-F238E27FC236}">
                <a16:creationId xmlns:a16="http://schemas.microsoft.com/office/drawing/2014/main" id="{1459059F-2F48-D9C9-9086-024385A05DA1}"/>
              </a:ext>
            </a:extLst>
          </xdr:cNvPr>
          <xdr:cNvSpPr/>
        </xdr:nvSpPr>
        <xdr:spPr>
          <a:xfrm>
            <a:off x="5051875" y="1980000"/>
            <a:ext cx="2160000" cy="2340000"/>
          </a:xfrm>
          <a:prstGeom prst="roundRect">
            <a:avLst>
              <a:gd name="adj" fmla="val 2887"/>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8" name="Rectangle: Rounded Corners 117">
            <a:extLst>
              <a:ext uri="{FF2B5EF4-FFF2-40B4-BE49-F238E27FC236}">
                <a16:creationId xmlns:a16="http://schemas.microsoft.com/office/drawing/2014/main" id="{C8A07161-EB68-713C-38D9-72DDD6929110}"/>
              </a:ext>
            </a:extLst>
          </xdr:cNvPr>
          <xdr:cNvSpPr/>
        </xdr:nvSpPr>
        <xdr:spPr>
          <a:xfrm>
            <a:off x="7391875" y="1980000"/>
            <a:ext cx="1620000" cy="2340000"/>
          </a:xfrm>
          <a:prstGeom prst="roundRect">
            <a:avLst>
              <a:gd name="adj" fmla="val 2887"/>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9" name="Rectangle: Rounded Corners 118">
            <a:extLst>
              <a:ext uri="{FF2B5EF4-FFF2-40B4-BE49-F238E27FC236}">
                <a16:creationId xmlns:a16="http://schemas.microsoft.com/office/drawing/2014/main" id="{A45D4034-A519-DCF1-B1B4-8FC5E15A3434}"/>
              </a:ext>
            </a:extLst>
          </xdr:cNvPr>
          <xdr:cNvSpPr/>
        </xdr:nvSpPr>
        <xdr:spPr>
          <a:xfrm>
            <a:off x="7391875" y="4484690"/>
            <a:ext cx="1620000" cy="2178000"/>
          </a:xfrm>
          <a:prstGeom prst="roundRect">
            <a:avLst>
              <a:gd name="adj" fmla="val 2887"/>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0" name="Rectangle: Rounded Corners 119">
            <a:extLst>
              <a:ext uri="{FF2B5EF4-FFF2-40B4-BE49-F238E27FC236}">
                <a16:creationId xmlns:a16="http://schemas.microsoft.com/office/drawing/2014/main" id="{7B238C32-07D6-8671-16B0-AF45BCE64B39}"/>
              </a:ext>
            </a:extLst>
          </xdr:cNvPr>
          <xdr:cNvSpPr/>
        </xdr:nvSpPr>
        <xdr:spPr>
          <a:xfrm>
            <a:off x="1631875" y="4500000"/>
            <a:ext cx="5580000" cy="2178000"/>
          </a:xfrm>
          <a:prstGeom prst="roundRect">
            <a:avLst>
              <a:gd name="adj" fmla="val 2887"/>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1" name="Flowchart: Off-page Connector 120">
            <a:extLst>
              <a:ext uri="{FF2B5EF4-FFF2-40B4-BE49-F238E27FC236}">
                <a16:creationId xmlns:a16="http://schemas.microsoft.com/office/drawing/2014/main" id="{A0C6907E-4EAF-10DD-E3F3-99F736F385B9}"/>
              </a:ext>
            </a:extLst>
          </xdr:cNvPr>
          <xdr:cNvSpPr/>
        </xdr:nvSpPr>
        <xdr:spPr>
          <a:xfrm>
            <a:off x="9311875" y="1076400"/>
            <a:ext cx="1080000" cy="1800000"/>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2" name="Flowchart: Off-page Connector 121">
            <a:extLst>
              <a:ext uri="{FF2B5EF4-FFF2-40B4-BE49-F238E27FC236}">
                <a16:creationId xmlns:a16="http://schemas.microsoft.com/office/drawing/2014/main" id="{ACAFECFE-AB8D-4D2E-197C-95DB07CA9A31}"/>
              </a:ext>
            </a:extLst>
          </xdr:cNvPr>
          <xdr:cNvSpPr/>
        </xdr:nvSpPr>
        <xdr:spPr>
          <a:xfrm>
            <a:off x="10817875" y="1078200"/>
            <a:ext cx="1080000" cy="1800000"/>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3" name="Rectangle: Rounded Corners 122">
            <a:extLst>
              <a:ext uri="{FF2B5EF4-FFF2-40B4-BE49-F238E27FC236}">
                <a16:creationId xmlns:a16="http://schemas.microsoft.com/office/drawing/2014/main" id="{49936D2B-7E2B-FDB9-7FA7-32B25F63590B}"/>
              </a:ext>
            </a:extLst>
          </xdr:cNvPr>
          <xdr:cNvSpPr/>
        </xdr:nvSpPr>
        <xdr:spPr>
          <a:xfrm>
            <a:off x="9191875" y="3099335"/>
            <a:ext cx="2832000" cy="3560665"/>
          </a:xfrm>
          <a:prstGeom prst="roundRect">
            <a:avLst>
              <a:gd name="adj" fmla="val 2887"/>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4" name="Flowchart: Off-page Connector 123">
            <a:extLst>
              <a:ext uri="{FF2B5EF4-FFF2-40B4-BE49-F238E27FC236}">
                <a16:creationId xmlns:a16="http://schemas.microsoft.com/office/drawing/2014/main" id="{5E6A0E73-FF4A-2133-F277-731CACFE689D}"/>
              </a:ext>
            </a:extLst>
          </xdr:cNvPr>
          <xdr:cNvSpPr/>
        </xdr:nvSpPr>
        <xdr:spPr>
          <a:xfrm>
            <a:off x="9483475" y="1273199"/>
            <a:ext cx="747600" cy="1452935"/>
          </a:xfrm>
          <a:prstGeom prst="flowChartOffpageConnector">
            <a:avLst/>
          </a:prstGeom>
          <a:noFill/>
          <a:ln w="19050">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5" name="Flowchart: Off-page Connector 124">
            <a:extLst>
              <a:ext uri="{FF2B5EF4-FFF2-40B4-BE49-F238E27FC236}">
                <a16:creationId xmlns:a16="http://schemas.microsoft.com/office/drawing/2014/main" id="{EEE62312-9612-0538-A625-2B8A7459EF05}"/>
              </a:ext>
            </a:extLst>
          </xdr:cNvPr>
          <xdr:cNvSpPr/>
        </xdr:nvSpPr>
        <xdr:spPr>
          <a:xfrm>
            <a:off x="10965475" y="1273200"/>
            <a:ext cx="747600" cy="1452935"/>
          </a:xfrm>
          <a:prstGeom prst="flowChartOffpageConnector">
            <a:avLst/>
          </a:prstGeom>
          <a:noFill/>
          <a:ln w="19050">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26" name="Straight Connector 125">
            <a:extLst>
              <a:ext uri="{FF2B5EF4-FFF2-40B4-BE49-F238E27FC236}">
                <a16:creationId xmlns:a16="http://schemas.microsoft.com/office/drawing/2014/main" id="{36FDA5CD-22B3-5CA7-D59C-68D5E7B63311}"/>
              </a:ext>
            </a:extLst>
          </xdr:cNvPr>
          <xdr:cNvCxnSpPr>
            <a:cxnSpLocks/>
          </xdr:cNvCxnSpPr>
        </xdr:nvCxnSpPr>
        <xdr:spPr>
          <a:xfrm>
            <a:off x="1801075" y="2340000"/>
            <a:ext cx="2844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7" name="Straight Connector 126">
            <a:extLst>
              <a:ext uri="{FF2B5EF4-FFF2-40B4-BE49-F238E27FC236}">
                <a16:creationId xmlns:a16="http://schemas.microsoft.com/office/drawing/2014/main" id="{AD41861D-0ED7-B2B1-2B25-96896D16F8C4}"/>
              </a:ext>
            </a:extLst>
          </xdr:cNvPr>
          <xdr:cNvCxnSpPr>
            <a:cxnSpLocks/>
          </xdr:cNvCxnSpPr>
        </xdr:nvCxnSpPr>
        <xdr:spPr>
          <a:xfrm>
            <a:off x="5249875" y="2349082"/>
            <a:ext cx="1800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96" name="Straight Connector 4095">
            <a:extLst>
              <a:ext uri="{FF2B5EF4-FFF2-40B4-BE49-F238E27FC236}">
                <a16:creationId xmlns:a16="http://schemas.microsoft.com/office/drawing/2014/main" id="{C58E1D39-20B9-9FD9-B8DC-18311816F32F}"/>
              </a:ext>
            </a:extLst>
          </xdr:cNvPr>
          <xdr:cNvCxnSpPr>
            <a:cxnSpLocks/>
          </xdr:cNvCxnSpPr>
        </xdr:nvCxnSpPr>
        <xdr:spPr>
          <a:xfrm>
            <a:off x="7547875" y="2338914"/>
            <a:ext cx="1296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97" name="Straight Connector 4096">
            <a:extLst>
              <a:ext uri="{FF2B5EF4-FFF2-40B4-BE49-F238E27FC236}">
                <a16:creationId xmlns:a16="http://schemas.microsoft.com/office/drawing/2014/main" id="{10A76640-23F6-635C-DEF1-77AF92B53BA6}"/>
              </a:ext>
            </a:extLst>
          </xdr:cNvPr>
          <xdr:cNvCxnSpPr>
            <a:cxnSpLocks/>
          </xdr:cNvCxnSpPr>
        </xdr:nvCxnSpPr>
        <xdr:spPr>
          <a:xfrm>
            <a:off x="1801075" y="4860000"/>
            <a:ext cx="5184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06" name="Straight Connector 4105">
            <a:extLst>
              <a:ext uri="{FF2B5EF4-FFF2-40B4-BE49-F238E27FC236}">
                <a16:creationId xmlns:a16="http://schemas.microsoft.com/office/drawing/2014/main" id="{EA196628-7B4C-7E14-7750-3033B5134B02}"/>
              </a:ext>
            </a:extLst>
          </xdr:cNvPr>
          <xdr:cNvCxnSpPr>
            <a:cxnSpLocks/>
          </xdr:cNvCxnSpPr>
        </xdr:nvCxnSpPr>
        <xdr:spPr>
          <a:xfrm>
            <a:off x="7547875" y="4869082"/>
            <a:ext cx="1332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07" name="Straight Connector 4106">
            <a:extLst>
              <a:ext uri="{FF2B5EF4-FFF2-40B4-BE49-F238E27FC236}">
                <a16:creationId xmlns:a16="http://schemas.microsoft.com/office/drawing/2014/main" id="{4E45A705-FE18-A388-0F95-89D45DEE958E}"/>
              </a:ext>
            </a:extLst>
          </xdr:cNvPr>
          <xdr:cNvCxnSpPr>
            <a:cxnSpLocks/>
          </xdr:cNvCxnSpPr>
        </xdr:nvCxnSpPr>
        <xdr:spPr>
          <a:xfrm>
            <a:off x="9357475" y="3420000"/>
            <a:ext cx="2520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11875</xdr:colOff>
      <xdr:row>0</xdr:row>
      <xdr:rowOff>0</xdr:rowOff>
    </xdr:from>
    <xdr:to>
      <xdr:col>23</xdr:col>
      <xdr:colOff>44457</xdr:colOff>
      <xdr:row>45</xdr:row>
      <xdr:rowOff>18327</xdr:rowOff>
    </xdr:to>
    <xdr:grpSp>
      <xdr:nvGrpSpPr>
        <xdr:cNvPr id="29" name="COLOR">
          <a:extLst>
            <a:ext uri="{FF2B5EF4-FFF2-40B4-BE49-F238E27FC236}">
              <a16:creationId xmlns:a16="http://schemas.microsoft.com/office/drawing/2014/main" id="{9A329D0E-9995-4FC0-4079-8EF8DF316A7F}"/>
            </a:ext>
          </a:extLst>
        </xdr:cNvPr>
        <xdr:cNvGrpSpPr>
          <a:grpSpLocks noChangeAspect="1"/>
        </xdr:cNvGrpSpPr>
      </xdr:nvGrpSpPr>
      <xdr:grpSpPr>
        <a:xfrm>
          <a:off x="11875" y="0"/>
          <a:ext cx="15328001" cy="8434963"/>
          <a:chOff x="0" y="0"/>
          <a:chExt cx="12192001" cy="6712528"/>
        </a:xfrm>
      </xdr:grpSpPr>
      <xdr:sp macro="" textlink="">
        <xdr:nvSpPr>
          <xdr:cNvPr id="2" name="Rectangle: Rounded Corners 1">
            <a:extLst>
              <a:ext uri="{FF2B5EF4-FFF2-40B4-BE49-F238E27FC236}">
                <a16:creationId xmlns:a16="http://schemas.microsoft.com/office/drawing/2014/main" id="{278E1FC7-D79A-801F-DA11-57EDD28CC883}"/>
              </a:ext>
            </a:extLst>
          </xdr:cNvPr>
          <xdr:cNvSpPr/>
        </xdr:nvSpPr>
        <xdr:spPr>
          <a:xfrm>
            <a:off x="0" y="0"/>
            <a:ext cx="12192001" cy="6712528"/>
          </a:xfrm>
          <a:prstGeom prst="roundRect">
            <a:avLst>
              <a:gd name="adj" fmla="val 1930"/>
            </a:avLst>
          </a:prstGeom>
          <a:gradFill flip="none" rotWithShape="1">
            <a:gsLst>
              <a:gs pos="0">
                <a:schemeClr val="accent6">
                  <a:lumMod val="67000"/>
                  <a:alpha val="90000"/>
                </a:schemeClr>
              </a:gs>
              <a:gs pos="48000">
                <a:schemeClr val="accent6">
                  <a:lumMod val="97000"/>
                  <a:lumOff val="3000"/>
                  <a:alpha val="90000"/>
                </a:schemeClr>
              </a:gs>
              <a:gs pos="100000">
                <a:schemeClr val="accent6">
                  <a:lumMod val="60000"/>
                  <a:lumOff val="40000"/>
                  <a:alpha val="9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 name="Trapezoid 2">
            <a:extLst>
              <a:ext uri="{FF2B5EF4-FFF2-40B4-BE49-F238E27FC236}">
                <a16:creationId xmlns:a16="http://schemas.microsoft.com/office/drawing/2014/main" id="{7D39F4CA-9F26-D140-41F5-BD6AE62D4A7B}"/>
              </a:ext>
            </a:extLst>
          </xdr:cNvPr>
          <xdr:cNvSpPr/>
        </xdr:nvSpPr>
        <xdr:spPr>
          <a:xfrm>
            <a:off x="10680000" y="1055617"/>
            <a:ext cx="1332001" cy="237046"/>
          </a:xfrm>
          <a:prstGeom prst="trapezoid">
            <a:avLst>
              <a:gd name="adj" fmla="val 4894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 name="Trapezoid 3">
            <a:extLst>
              <a:ext uri="{FF2B5EF4-FFF2-40B4-BE49-F238E27FC236}">
                <a16:creationId xmlns:a16="http://schemas.microsoft.com/office/drawing/2014/main" id="{3573B94E-56A7-75CC-9914-3D00BDFE6847}"/>
              </a:ext>
            </a:extLst>
          </xdr:cNvPr>
          <xdr:cNvSpPr/>
        </xdr:nvSpPr>
        <xdr:spPr>
          <a:xfrm>
            <a:off x="9174000" y="1053817"/>
            <a:ext cx="1332000" cy="237046"/>
          </a:xfrm>
          <a:prstGeom prst="trapezoid">
            <a:avLst>
              <a:gd name="adj" fmla="val 4833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 name="Rectangle: Rounded Corners 4">
            <a:extLst>
              <a:ext uri="{FF2B5EF4-FFF2-40B4-BE49-F238E27FC236}">
                <a16:creationId xmlns:a16="http://schemas.microsoft.com/office/drawing/2014/main" id="{B4337E57-FA1C-C3FD-673B-C2A2A7B8E2E9}"/>
              </a:ext>
            </a:extLst>
          </xdr:cNvPr>
          <xdr:cNvSpPr/>
        </xdr:nvSpPr>
        <xdr:spPr>
          <a:xfrm>
            <a:off x="180000" y="180000"/>
            <a:ext cx="4860001" cy="703374"/>
          </a:xfrm>
          <a:prstGeom prst="roundRect">
            <a:avLst>
              <a:gd name="adj" fmla="val 730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351BBDD2-5F0D-8420-3B20-5E141B2BDA81}"/>
              </a:ext>
            </a:extLst>
          </xdr:cNvPr>
          <xdr:cNvSpPr/>
        </xdr:nvSpPr>
        <xdr:spPr>
          <a:xfrm>
            <a:off x="5192401" y="180000"/>
            <a:ext cx="6819600" cy="703374"/>
          </a:xfrm>
          <a:prstGeom prst="roundRect">
            <a:avLst>
              <a:gd name="adj" fmla="val 5972"/>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7" name="Rectangle: Rounded Corners 6">
            <a:extLst>
              <a:ext uri="{FF2B5EF4-FFF2-40B4-BE49-F238E27FC236}">
                <a16:creationId xmlns:a16="http://schemas.microsoft.com/office/drawing/2014/main" id="{6A069687-6334-2D8B-9896-39D120D1271B}"/>
              </a:ext>
            </a:extLst>
          </xdr:cNvPr>
          <xdr:cNvSpPr/>
        </xdr:nvSpPr>
        <xdr:spPr>
          <a:xfrm>
            <a:off x="180000" y="1059217"/>
            <a:ext cx="1260000" cy="1055063"/>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8" name="Rectangle: Rounded Corners 7">
            <a:extLst>
              <a:ext uri="{FF2B5EF4-FFF2-40B4-BE49-F238E27FC236}">
                <a16:creationId xmlns:a16="http://schemas.microsoft.com/office/drawing/2014/main" id="{1A2E582D-CA12-B8F5-E4BB-FE0248FEE6DF}"/>
              </a:ext>
            </a:extLst>
          </xdr:cNvPr>
          <xdr:cNvSpPr/>
        </xdr:nvSpPr>
        <xdr:spPr>
          <a:xfrm>
            <a:off x="180000" y="2290123"/>
            <a:ext cx="1260000" cy="3169343"/>
          </a:xfrm>
          <a:prstGeom prst="roundRect">
            <a:avLst>
              <a:gd name="adj" fmla="val 8646"/>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9" name="Rectangle: Rounded Corners 8">
            <a:extLst>
              <a:ext uri="{FF2B5EF4-FFF2-40B4-BE49-F238E27FC236}">
                <a16:creationId xmlns:a16="http://schemas.microsoft.com/office/drawing/2014/main" id="{921B1BB3-8117-6E89-EBCD-EF6C49610044}"/>
              </a:ext>
            </a:extLst>
          </xdr:cNvPr>
          <xdr:cNvSpPr/>
        </xdr:nvSpPr>
        <xdr:spPr>
          <a:xfrm>
            <a:off x="180000" y="5635309"/>
            <a:ext cx="1260000" cy="883374"/>
          </a:xfrm>
          <a:prstGeom prst="roundRect">
            <a:avLst>
              <a:gd name="adj" fmla="val 5000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 name="Rectangle: Rounded Corners 9">
            <a:extLst>
              <a:ext uri="{FF2B5EF4-FFF2-40B4-BE49-F238E27FC236}">
                <a16:creationId xmlns:a16="http://schemas.microsoft.com/office/drawing/2014/main" id="{4E5B48A0-DE7D-42D8-1C63-A1133B6464BB}"/>
              </a:ext>
            </a:extLst>
          </xdr:cNvPr>
          <xdr:cNvSpPr/>
        </xdr:nvSpPr>
        <xdr:spPr>
          <a:xfrm>
            <a:off x="1620000" y="1059217"/>
            <a:ext cx="2340000" cy="703376"/>
          </a:xfrm>
          <a:prstGeom prst="roundRect">
            <a:avLst>
              <a:gd name="adj" fmla="val 864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 name="Rectangle: Rounded Corners 10">
            <a:extLst>
              <a:ext uri="{FF2B5EF4-FFF2-40B4-BE49-F238E27FC236}">
                <a16:creationId xmlns:a16="http://schemas.microsoft.com/office/drawing/2014/main" id="{239798C7-A839-E707-0D9F-11804DB7BAF0}"/>
              </a:ext>
            </a:extLst>
          </xdr:cNvPr>
          <xdr:cNvSpPr/>
        </xdr:nvSpPr>
        <xdr:spPr>
          <a:xfrm>
            <a:off x="4140000" y="1059217"/>
            <a:ext cx="2340000" cy="703376"/>
          </a:xfrm>
          <a:prstGeom prst="roundRect">
            <a:avLst>
              <a:gd name="adj" fmla="val 864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 name="Rectangle: Rounded Corners 11">
            <a:extLst>
              <a:ext uri="{FF2B5EF4-FFF2-40B4-BE49-F238E27FC236}">
                <a16:creationId xmlns:a16="http://schemas.microsoft.com/office/drawing/2014/main" id="{B2F17114-EAFE-19BF-BCC0-9F417BBFF387}"/>
              </a:ext>
            </a:extLst>
          </xdr:cNvPr>
          <xdr:cNvSpPr/>
        </xdr:nvSpPr>
        <xdr:spPr>
          <a:xfrm>
            <a:off x="6659999" y="1059217"/>
            <a:ext cx="2340001" cy="703376"/>
          </a:xfrm>
          <a:prstGeom prst="roundRect">
            <a:avLst>
              <a:gd name="adj" fmla="val 864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3" name="Rectangle: Rounded Corners 12">
            <a:extLst>
              <a:ext uri="{FF2B5EF4-FFF2-40B4-BE49-F238E27FC236}">
                <a16:creationId xmlns:a16="http://schemas.microsoft.com/office/drawing/2014/main" id="{A3C441AA-A788-E83B-1449-E195C5E92D39}"/>
              </a:ext>
            </a:extLst>
          </xdr:cNvPr>
          <xdr:cNvSpPr/>
        </xdr:nvSpPr>
        <xdr:spPr>
          <a:xfrm>
            <a:off x="1620000" y="1938437"/>
            <a:ext cx="3240001" cy="2290123"/>
          </a:xfrm>
          <a:prstGeom prst="roundRect">
            <a:avLst>
              <a:gd name="adj" fmla="val 288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4" name="Rectangle: Rounded Corners 13">
            <a:extLst>
              <a:ext uri="{FF2B5EF4-FFF2-40B4-BE49-F238E27FC236}">
                <a16:creationId xmlns:a16="http://schemas.microsoft.com/office/drawing/2014/main" id="{67CBA259-77A8-6933-8C3F-C0A80E2F3761}"/>
              </a:ext>
            </a:extLst>
          </xdr:cNvPr>
          <xdr:cNvSpPr/>
        </xdr:nvSpPr>
        <xdr:spPr>
          <a:xfrm>
            <a:off x="5040001" y="1938437"/>
            <a:ext cx="2159998" cy="2290123"/>
          </a:xfrm>
          <a:prstGeom prst="roundRect">
            <a:avLst>
              <a:gd name="adj" fmla="val 288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5" name="Rectangle: Rounded Corners 14">
            <a:extLst>
              <a:ext uri="{FF2B5EF4-FFF2-40B4-BE49-F238E27FC236}">
                <a16:creationId xmlns:a16="http://schemas.microsoft.com/office/drawing/2014/main" id="{FB36C2A1-E494-32C8-39B0-6D05556465DE}"/>
              </a:ext>
            </a:extLst>
          </xdr:cNvPr>
          <xdr:cNvSpPr/>
        </xdr:nvSpPr>
        <xdr:spPr>
          <a:xfrm>
            <a:off x="7380000" y="1938437"/>
            <a:ext cx="1620000" cy="2290123"/>
          </a:xfrm>
          <a:prstGeom prst="roundRect">
            <a:avLst>
              <a:gd name="adj" fmla="val 288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6" name="Rectangle: Rounded Corners 15">
            <a:extLst>
              <a:ext uri="{FF2B5EF4-FFF2-40B4-BE49-F238E27FC236}">
                <a16:creationId xmlns:a16="http://schemas.microsoft.com/office/drawing/2014/main" id="{A87D51C6-ED20-63F6-D5F9-80E94515CC9C}"/>
              </a:ext>
            </a:extLst>
          </xdr:cNvPr>
          <xdr:cNvSpPr/>
        </xdr:nvSpPr>
        <xdr:spPr>
          <a:xfrm>
            <a:off x="7380000" y="4389093"/>
            <a:ext cx="1620000" cy="2132280"/>
          </a:xfrm>
          <a:prstGeom prst="roundRect">
            <a:avLst>
              <a:gd name="adj" fmla="val 288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7" name="Rectangle: Rounded Corners 16">
            <a:extLst>
              <a:ext uri="{FF2B5EF4-FFF2-40B4-BE49-F238E27FC236}">
                <a16:creationId xmlns:a16="http://schemas.microsoft.com/office/drawing/2014/main" id="{1675D0A7-C00E-D179-06A3-8822C5ABAB18}"/>
              </a:ext>
            </a:extLst>
          </xdr:cNvPr>
          <xdr:cNvSpPr/>
        </xdr:nvSpPr>
        <xdr:spPr>
          <a:xfrm>
            <a:off x="1620000" y="4404403"/>
            <a:ext cx="5579999" cy="2132280"/>
          </a:xfrm>
          <a:prstGeom prst="roundRect">
            <a:avLst>
              <a:gd name="adj" fmla="val 288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8" name="Flowchart: Off-page Connector 17">
            <a:extLst>
              <a:ext uri="{FF2B5EF4-FFF2-40B4-BE49-F238E27FC236}">
                <a16:creationId xmlns:a16="http://schemas.microsoft.com/office/drawing/2014/main" id="{F53C2C73-81B5-CDC4-B5D8-59E0EC471201}"/>
              </a:ext>
            </a:extLst>
          </xdr:cNvPr>
          <xdr:cNvSpPr/>
        </xdr:nvSpPr>
        <xdr:spPr>
          <a:xfrm>
            <a:off x="9300000" y="1055617"/>
            <a:ext cx="1080000" cy="1758437"/>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9" name="Flowchart: Off-page Connector 18">
            <a:extLst>
              <a:ext uri="{FF2B5EF4-FFF2-40B4-BE49-F238E27FC236}">
                <a16:creationId xmlns:a16="http://schemas.microsoft.com/office/drawing/2014/main" id="{724BA62D-C91B-8F50-86E3-AFBAF777AC05}"/>
              </a:ext>
            </a:extLst>
          </xdr:cNvPr>
          <xdr:cNvSpPr/>
        </xdr:nvSpPr>
        <xdr:spPr>
          <a:xfrm>
            <a:off x="10806000" y="1057417"/>
            <a:ext cx="1080000" cy="1758437"/>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0" name="Rectangle: Rounded Corners 19">
            <a:extLst>
              <a:ext uri="{FF2B5EF4-FFF2-40B4-BE49-F238E27FC236}">
                <a16:creationId xmlns:a16="http://schemas.microsoft.com/office/drawing/2014/main" id="{E996783B-F00C-5588-AC3F-7ADB8DDD97C7}"/>
              </a:ext>
            </a:extLst>
          </xdr:cNvPr>
          <xdr:cNvSpPr/>
        </xdr:nvSpPr>
        <xdr:spPr>
          <a:xfrm>
            <a:off x="9180000" y="3032831"/>
            <a:ext cx="2832001" cy="3485851"/>
          </a:xfrm>
          <a:prstGeom prst="roundRect">
            <a:avLst>
              <a:gd name="adj" fmla="val 288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1" name="Flowchart: Off-page Connector 20">
            <a:extLst>
              <a:ext uri="{FF2B5EF4-FFF2-40B4-BE49-F238E27FC236}">
                <a16:creationId xmlns:a16="http://schemas.microsoft.com/office/drawing/2014/main" id="{9AA04B33-6572-9026-8041-6101861CC93D}"/>
              </a:ext>
            </a:extLst>
          </xdr:cNvPr>
          <xdr:cNvSpPr/>
        </xdr:nvSpPr>
        <xdr:spPr>
          <a:xfrm>
            <a:off x="9471600" y="1248262"/>
            <a:ext cx="747600" cy="1419683"/>
          </a:xfrm>
          <a:prstGeom prst="flowChartOffpageConnector">
            <a:avLst/>
          </a:prstGeom>
          <a:noFill/>
          <a:ln w="19050">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2" name="Flowchart: Off-page Connector 21">
            <a:extLst>
              <a:ext uri="{FF2B5EF4-FFF2-40B4-BE49-F238E27FC236}">
                <a16:creationId xmlns:a16="http://schemas.microsoft.com/office/drawing/2014/main" id="{F45D8C6B-4DB3-4BFA-9442-7FA750A62D79}"/>
              </a:ext>
            </a:extLst>
          </xdr:cNvPr>
          <xdr:cNvSpPr/>
        </xdr:nvSpPr>
        <xdr:spPr>
          <a:xfrm>
            <a:off x="10953600" y="1248263"/>
            <a:ext cx="747600" cy="1419683"/>
          </a:xfrm>
          <a:prstGeom prst="flowChartOffpageConnector">
            <a:avLst/>
          </a:prstGeom>
          <a:noFill/>
          <a:ln w="19050">
            <a:solidFill>
              <a:schemeClr val="bg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3" name="Straight Connector 22">
            <a:extLst>
              <a:ext uri="{FF2B5EF4-FFF2-40B4-BE49-F238E27FC236}">
                <a16:creationId xmlns:a16="http://schemas.microsoft.com/office/drawing/2014/main" id="{3ADD675F-178E-6C0B-DFDB-8C19C2ED96BE}"/>
              </a:ext>
            </a:extLst>
          </xdr:cNvPr>
          <xdr:cNvCxnSpPr>
            <a:cxnSpLocks/>
          </xdr:cNvCxnSpPr>
        </xdr:nvCxnSpPr>
        <xdr:spPr>
          <a:xfrm>
            <a:off x="1789200" y="2290123"/>
            <a:ext cx="2844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3577D80E-9107-77A5-FCEC-C72E9E44051C}"/>
              </a:ext>
            </a:extLst>
          </xdr:cNvPr>
          <xdr:cNvCxnSpPr>
            <a:cxnSpLocks/>
          </xdr:cNvCxnSpPr>
        </xdr:nvCxnSpPr>
        <xdr:spPr>
          <a:xfrm>
            <a:off x="5238001" y="2299205"/>
            <a:ext cx="1799998"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6C9EFC05-1B3E-329A-99E2-4DC613FC70B8}"/>
              </a:ext>
            </a:extLst>
          </xdr:cNvPr>
          <xdr:cNvCxnSpPr>
            <a:cxnSpLocks/>
          </xdr:cNvCxnSpPr>
        </xdr:nvCxnSpPr>
        <xdr:spPr>
          <a:xfrm>
            <a:off x="7536000" y="2289037"/>
            <a:ext cx="1296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6F2C3581-C5DA-6878-4676-55EC2C0D7CE8}"/>
              </a:ext>
            </a:extLst>
          </xdr:cNvPr>
          <xdr:cNvCxnSpPr>
            <a:cxnSpLocks/>
          </xdr:cNvCxnSpPr>
        </xdr:nvCxnSpPr>
        <xdr:spPr>
          <a:xfrm>
            <a:off x="1789200" y="4756091"/>
            <a:ext cx="5183999"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E0452F42-9FD0-CFD2-993A-17CF016F9F00}"/>
              </a:ext>
            </a:extLst>
          </xdr:cNvPr>
          <xdr:cNvCxnSpPr>
            <a:cxnSpLocks/>
          </xdr:cNvCxnSpPr>
        </xdr:nvCxnSpPr>
        <xdr:spPr>
          <a:xfrm>
            <a:off x="7536000" y="4765173"/>
            <a:ext cx="1332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46B36C4C-C472-7D11-EAC4-BFB45449F75B}"/>
              </a:ext>
            </a:extLst>
          </xdr:cNvPr>
          <xdr:cNvCxnSpPr>
            <a:cxnSpLocks/>
          </xdr:cNvCxnSpPr>
        </xdr:nvCxnSpPr>
        <xdr:spPr>
          <a:xfrm>
            <a:off x="9345600" y="3349343"/>
            <a:ext cx="252000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296885</xdr:colOff>
      <xdr:row>1</xdr:row>
      <xdr:rowOff>71250</xdr:rowOff>
    </xdr:from>
    <xdr:to>
      <xdr:col>1</xdr:col>
      <xdr:colOff>439389</xdr:colOff>
      <xdr:row>5</xdr:row>
      <xdr:rowOff>118753</xdr:rowOff>
    </xdr:to>
    <xdr:pic>
      <xdr:nvPicPr>
        <xdr:cNvPr id="31" name="Graphic 30" descr="Presentation with bar chart">
          <a:extLst>
            <a:ext uri="{FF2B5EF4-FFF2-40B4-BE49-F238E27FC236}">
              <a16:creationId xmlns:a16="http://schemas.microsoft.com/office/drawing/2014/main" id="{C189C949-6727-EEA9-1B77-6B7A27D7B7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6885" y="261256"/>
          <a:ext cx="807523" cy="807523"/>
        </a:xfrm>
        <a:prstGeom prst="rect">
          <a:avLst/>
        </a:prstGeom>
      </xdr:spPr>
    </xdr:pic>
    <xdr:clientData/>
  </xdr:twoCellAnchor>
  <xdr:twoCellAnchor editAs="oneCell">
    <xdr:from>
      <xdr:col>11</xdr:col>
      <xdr:colOff>11873</xdr:colOff>
      <xdr:row>7</xdr:row>
      <xdr:rowOff>106877</xdr:rowOff>
    </xdr:from>
    <xdr:to>
      <xdr:col>12</xdr:col>
      <xdr:colOff>118749</xdr:colOff>
      <xdr:row>11</xdr:row>
      <xdr:rowOff>118751</xdr:rowOff>
    </xdr:to>
    <xdr:pic>
      <xdr:nvPicPr>
        <xdr:cNvPr id="33" name="Graphic 32" descr="Bar graph with upward trend">
          <a:extLst>
            <a:ext uri="{FF2B5EF4-FFF2-40B4-BE49-F238E27FC236}">
              <a16:creationId xmlns:a16="http://schemas.microsoft.com/office/drawing/2014/main" id="{302472B9-EB09-06E6-1FAF-34BB459B17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27073" y="1436913"/>
          <a:ext cx="771895" cy="771895"/>
        </a:xfrm>
        <a:prstGeom prst="rect">
          <a:avLst/>
        </a:prstGeom>
      </xdr:spPr>
    </xdr:pic>
    <xdr:clientData/>
  </xdr:twoCellAnchor>
  <xdr:twoCellAnchor editAs="oneCell">
    <xdr:from>
      <xdr:col>6</xdr:col>
      <xdr:colOff>114373</xdr:colOff>
      <xdr:row>7</xdr:row>
      <xdr:rowOff>90624</xdr:rowOff>
    </xdr:from>
    <xdr:to>
      <xdr:col>7</xdr:col>
      <xdr:colOff>213755</xdr:colOff>
      <xdr:row>11</xdr:row>
      <xdr:rowOff>95003</xdr:rowOff>
    </xdr:to>
    <xdr:pic>
      <xdr:nvPicPr>
        <xdr:cNvPr id="35" name="Graphic 34" descr="Money">
          <a:extLst>
            <a:ext uri="{FF2B5EF4-FFF2-40B4-BE49-F238E27FC236}">
              <a16:creationId xmlns:a16="http://schemas.microsoft.com/office/drawing/2014/main" id="{9C7ABFF3-E7AC-3C87-E971-03B05FA4C6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04482" y="1420660"/>
          <a:ext cx="764400" cy="764400"/>
        </a:xfrm>
        <a:prstGeom prst="rect">
          <a:avLst/>
        </a:prstGeom>
      </xdr:spPr>
    </xdr:pic>
    <xdr:clientData/>
  </xdr:twoCellAnchor>
  <xdr:twoCellAnchor editAs="oneCell">
    <xdr:from>
      <xdr:col>15</xdr:col>
      <xdr:colOff>501878</xdr:colOff>
      <xdr:row>7</xdr:row>
      <xdr:rowOff>157495</xdr:rowOff>
    </xdr:from>
    <xdr:to>
      <xdr:col>16</xdr:col>
      <xdr:colOff>558138</xdr:colOff>
      <xdr:row>11</xdr:row>
      <xdr:rowOff>118752</xdr:rowOff>
    </xdr:to>
    <xdr:pic>
      <xdr:nvPicPr>
        <xdr:cNvPr id="37" name="Graphic 36" descr="Piggy Bank">
          <a:extLst>
            <a:ext uri="{FF2B5EF4-FFF2-40B4-BE49-F238E27FC236}">
              <a16:creationId xmlns:a16="http://schemas.microsoft.com/office/drawing/2014/main" id="{6F8AF6B0-4C3A-D571-2119-182290FBC39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477151" y="1487531"/>
          <a:ext cx="721278" cy="721278"/>
        </a:xfrm>
        <a:prstGeom prst="rect">
          <a:avLst/>
        </a:prstGeom>
      </xdr:spPr>
    </xdr:pic>
    <xdr:clientData/>
  </xdr:twoCellAnchor>
  <xdr:twoCellAnchor editAs="oneCell">
    <xdr:from>
      <xdr:col>0</xdr:col>
      <xdr:colOff>556877</xdr:colOff>
      <xdr:row>38</xdr:row>
      <xdr:rowOff>46240</xdr:rowOff>
    </xdr:from>
    <xdr:to>
      <xdr:col>2</xdr:col>
      <xdr:colOff>141241</xdr:colOff>
      <xdr:row>43</xdr:row>
      <xdr:rowOff>10614</xdr:rowOff>
    </xdr:to>
    <xdr:pic>
      <xdr:nvPicPr>
        <xdr:cNvPr id="39" name="Graphic 38" descr="Shopping cart">
          <a:extLst>
            <a:ext uri="{FF2B5EF4-FFF2-40B4-BE49-F238E27FC236}">
              <a16:creationId xmlns:a16="http://schemas.microsoft.com/office/drawing/2014/main" id="{145A0079-117F-2668-D387-B7EEF948D3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6877" y="7266437"/>
          <a:ext cx="914400" cy="914400"/>
        </a:xfrm>
        <a:prstGeom prst="rect">
          <a:avLst/>
        </a:prstGeom>
      </xdr:spPr>
    </xdr:pic>
    <xdr:clientData/>
  </xdr:twoCellAnchor>
  <xdr:twoCellAnchor editAs="oneCell">
    <xdr:from>
      <xdr:col>21</xdr:col>
      <xdr:colOff>18109</xdr:colOff>
      <xdr:row>14</xdr:row>
      <xdr:rowOff>89364</xdr:rowOff>
    </xdr:from>
    <xdr:to>
      <xdr:col>21</xdr:col>
      <xdr:colOff>546262</xdr:colOff>
      <xdr:row>17</xdr:row>
      <xdr:rowOff>47501</xdr:rowOff>
    </xdr:to>
    <xdr:pic>
      <xdr:nvPicPr>
        <xdr:cNvPr id="41" name="Graphic 40" descr="Ribbon">
          <a:extLst>
            <a:ext uri="{FF2B5EF4-FFF2-40B4-BE49-F238E27FC236}">
              <a16:creationId xmlns:a16="http://schemas.microsoft.com/office/drawing/2014/main" id="{847E3E01-8646-84E7-90DA-1C3924F8A3D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983490" y="2749437"/>
          <a:ext cx="528153" cy="528153"/>
        </a:xfrm>
        <a:prstGeom prst="rect">
          <a:avLst/>
        </a:prstGeom>
      </xdr:spPr>
    </xdr:pic>
    <xdr:clientData/>
  </xdr:twoCellAnchor>
  <xdr:twoCellAnchor editAs="oneCell">
    <xdr:from>
      <xdr:col>18</xdr:col>
      <xdr:colOff>144359</xdr:colOff>
      <xdr:row>14</xdr:row>
      <xdr:rowOff>84983</xdr:rowOff>
    </xdr:from>
    <xdr:to>
      <xdr:col>19</xdr:col>
      <xdr:colOff>8540</xdr:colOff>
      <xdr:row>17</xdr:row>
      <xdr:rowOff>44167</xdr:rowOff>
    </xdr:to>
    <xdr:pic>
      <xdr:nvPicPr>
        <xdr:cNvPr id="43" name="Graphic 42" descr="Trophy">
          <a:extLst>
            <a:ext uri="{FF2B5EF4-FFF2-40B4-BE49-F238E27FC236}">
              <a16:creationId xmlns:a16="http://schemas.microsoft.com/office/drawing/2014/main" id="{724E3286-BFA4-FAC3-5B5F-86FFBFDBD85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114686" y="2745056"/>
          <a:ext cx="529200" cy="529200"/>
        </a:xfrm>
        <a:prstGeom prst="rect">
          <a:avLst/>
        </a:prstGeom>
      </xdr:spPr>
    </xdr:pic>
    <xdr:clientData/>
  </xdr:twoCellAnchor>
  <xdr:twoCellAnchor editAs="oneCell">
    <xdr:from>
      <xdr:col>14</xdr:col>
      <xdr:colOff>151855</xdr:colOff>
      <xdr:row>29</xdr:row>
      <xdr:rowOff>80603</xdr:rowOff>
    </xdr:from>
    <xdr:to>
      <xdr:col>14</xdr:col>
      <xdr:colOff>653143</xdr:colOff>
      <xdr:row>32</xdr:row>
      <xdr:rowOff>11875</xdr:rowOff>
    </xdr:to>
    <xdr:pic>
      <xdr:nvPicPr>
        <xdr:cNvPr id="45" name="Graphic 44" descr="Coins">
          <a:extLst>
            <a:ext uri="{FF2B5EF4-FFF2-40B4-BE49-F238E27FC236}">
              <a16:creationId xmlns:a16="http://schemas.microsoft.com/office/drawing/2014/main" id="{2944030A-0774-F04A-2FAB-65176BB772D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62109" y="5590753"/>
          <a:ext cx="501288" cy="501288"/>
        </a:xfrm>
        <a:prstGeom prst="rect">
          <a:avLst/>
        </a:prstGeom>
      </xdr:spPr>
    </xdr:pic>
    <xdr:clientData/>
  </xdr:twoCellAnchor>
  <xdr:twoCellAnchor editAs="oneCell">
    <xdr:from>
      <xdr:col>3</xdr:col>
      <xdr:colOff>183101</xdr:colOff>
      <xdr:row>13</xdr:row>
      <xdr:rowOff>28719</xdr:rowOff>
    </xdr:from>
    <xdr:to>
      <xdr:col>3</xdr:col>
      <xdr:colOff>617517</xdr:colOff>
      <xdr:row>15</xdr:row>
      <xdr:rowOff>83123</xdr:rowOff>
    </xdr:to>
    <xdr:pic>
      <xdr:nvPicPr>
        <xdr:cNvPr id="47" name="Graphic 46" descr="Flip calendar">
          <a:extLst>
            <a:ext uri="{FF2B5EF4-FFF2-40B4-BE49-F238E27FC236}">
              <a16:creationId xmlns:a16="http://schemas.microsoft.com/office/drawing/2014/main" id="{F2C15E16-7A33-3528-A040-86CC39626BD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78155" y="2498786"/>
          <a:ext cx="434416" cy="434416"/>
        </a:xfrm>
        <a:prstGeom prst="rect">
          <a:avLst/>
        </a:prstGeom>
      </xdr:spPr>
    </xdr:pic>
    <xdr:clientData/>
  </xdr:twoCellAnchor>
  <xdr:twoCellAnchor editAs="oneCell">
    <xdr:from>
      <xdr:col>3</xdr:col>
      <xdr:colOff>143096</xdr:colOff>
      <xdr:row>29</xdr:row>
      <xdr:rowOff>107469</xdr:rowOff>
    </xdr:from>
    <xdr:to>
      <xdr:col>3</xdr:col>
      <xdr:colOff>605644</xdr:colOff>
      <xdr:row>32</xdr:row>
      <xdr:rowOff>1</xdr:rowOff>
    </xdr:to>
    <xdr:pic>
      <xdr:nvPicPr>
        <xdr:cNvPr id="49" name="Graphic 48" descr="Daily calendar">
          <a:extLst>
            <a:ext uri="{FF2B5EF4-FFF2-40B4-BE49-F238E27FC236}">
              <a16:creationId xmlns:a16="http://schemas.microsoft.com/office/drawing/2014/main" id="{B84599BF-9B28-C69E-E8F3-FF06496ECCD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38150" y="5617619"/>
          <a:ext cx="462548" cy="462548"/>
        </a:xfrm>
        <a:prstGeom prst="rect">
          <a:avLst/>
        </a:prstGeom>
      </xdr:spPr>
    </xdr:pic>
    <xdr:clientData/>
  </xdr:twoCellAnchor>
  <xdr:twoCellAnchor editAs="oneCell">
    <xdr:from>
      <xdr:col>14</xdr:col>
      <xdr:colOff>150588</xdr:colOff>
      <xdr:row>13</xdr:row>
      <xdr:rowOff>8089</xdr:rowOff>
    </xdr:from>
    <xdr:to>
      <xdr:col>14</xdr:col>
      <xdr:colOff>558137</xdr:colOff>
      <xdr:row>15</xdr:row>
      <xdr:rowOff>35626</xdr:rowOff>
    </xdr:to>
    <xdr:pic>
      <xdr:nvPicPr>
        <xdr:cNvPr id="51" name="Graphic 50" descr="Register">
          <a:extLst>
            <a:ext uri="{FF2B5EF4-FFF2-40B4-BE49-F238E27FC236}">
              <a16:creationId xmlns:a16="http://schemas.microsoft.com/office/drawing/2014/main" id="{240921C5-C2E7-6583-1150-C558DCBA4B4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460842" y="2478156"/>
          <a:ext cx="407549" cy="407549"/>
        </a:xfrm>
        <a:prstGeom prst="rect">
          <a:avLst/>
        </a:prstGeom>
      </xdr:spPr>
    </xdr:pic>
    <xdr:clientData/>
  </xdr:twoCellAnchor>
  <xdr:twoCellAnchor editAs="oneCell">
    <xdr:from>
      <xdr:col>17</xdr:col>
      <xdr:colOff>419340</xdr:colOff>
      <xdr:row>20</xdr:row>
      <xdr:rowOff>51210</xdr:rowOff>
    </xdr:from>
    <xdr:to>
      <xdr:col>18</xdr:col>
      <xdr:colOff>178124</xdr:colOff>
      <xdr:row>22</xdr:row>
      <xdr:rowOff>95002</xdr:rowOff>
    </xdr:to>
    <xdr:pic>
      <xdr:nvPicPr>
        <xdr:cNvPr id="53" name="Graphic 52" descr="Pyramid with levels">
          <a:extLst>
            <a:ext uri="{FF2B5EF4-FFF2-40B4-BE49-F238E27FC236}">
              <a16:creationId xmlns:a16="http://schemas.microsoft.com/office/drawing/2014/main" id="{1F853488-9FC6-2882-EF30-E1EF9F55651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724649" y="3851314"/>
          <a:ext cx="423802" cy="423802"/>
        </a:xfrm>
        <a:prstGeom prst="rect">
          <a:avLst/>
        </a:prstGeom>
      </xdr:spPr>
    </xdr:pic>
    <xdr:clientData/>
  </xdr:twoCellAnchor>
  <xdr:twoCellAnchor>
    <xdr:from>
      <xdr:col>9</xdr:col>
      <xdr:colOff>470632</xdr:colOff>
      <xdr:row>12</xdr:row>
      <xdr:rowOff>138122</xdr:rowOff>
    </xdr:from>
    <xdr:to>
      <xdr:col>10</xdr:col>
      <xdr:colOff>296884</xdr:colOff>
      <xdr:row>15</xdr:row>
      <xdr:rowOff>106876</xdr:rowOff>
    </xdr:to>
    <xdr:grpSp>
      <xdr:nvGrpSpPr>
        <xdr:cNvPr id="58" name="Group 57">
          <a:extLst>
            <a:ext uri="{FF2B5EF4-FFF2-40B4-BE49-F238E27FC236}">
              <a16:creationId xmlns:a16="http://schemas.microsoft.com/office/drawing/2014/main" id="{C7B80FA3-A06C-A519-71FF-13C3744CE846}"/>
            </a:ext>
          </a:extLst>
        </xdr:cNvPr>
        <xdr:cNvGrpSpPr/>
      </xdr:nvGrpSpPr>
      <xdr:grpSpPr>
        <a:xfrm>
          <a:off x="6455796" y="2382558"/>
          <a:ext cx="491269" cy="529863"/>
          <a:chOff x="18675506" y="4579496"/>
          <a:chExt cx="1156286" cy="1085034"/>
        </a:xfrm>
        <a:solidFill>
          <a:schemeClr val="bg1"/>
        </a:solidFill>
      </xdr:grpSpPr>
      <xdr:pic>
        <xdr:nvPicPr>
          <xdr:cNvPr id="55" name="Graphic 54" descr="Box">
            <a:extLst>
              <a:ext uri="{FF2B5EF4-FFF2-40B4-BE49-F238E27FC236}">
                <a16:creationId xmlns:a16="http://schemas.microsoft.com/office/drawing/2014/main" id="{633E1808-D6B2-ECE0-971D-FFFCA03E6A3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8971913" y="4859935"/>
            <a:ext cx="510639" cy="510639"/>
          </a:xfrm>
          <a:prstGeom prst="rect">
            <a:avLst/>
          </a:prstGeom>
        </xdr:spPr>
      </xdr:pic>
      <xdr:pic>
        <xdr:nvPicPr>
          <xdr:cNvPr id="57" name="Graphic 56" descr="Arrow circle">
            <a:extLst>
              <a:ext uri="{FF2B5EF4-FFF2-40B4-BE49-F238E27FC236}">
                <a16:creationId xmlns:a16="http://schemas.microsoft.com/office/drawing/2014/main" id="{6AE045C0-EE2B-5CF9-CAA9-826CADBD5FBD}"/>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flipH="1">
            <a:off x="18675506" y="4579496"/>
            <a:ext cx="1156286" cy="1085034"/>
          </a:xfrm>
          <a:prstGeom prst="rect">
            <a:avLst/>
          </a:prstGeom>
        </xdr:spPr>
      </xdr:pic>
    </xdr:grpSp>
    <xdr:clientData/>
  </xdr:twoCellAnchor>
  <xdr:oneCellAnchor>
    <xdr:from>
      <xdr:col>1</xdr:col>
      <xdr:colOff>463136</xdr:colOff>
      <xdr:row>0</xdr:row>
      <xdr:rowOff>154382</xdr:rowOff>
    </xdr:from>
    <xdr:ext cx="4043158" cy="638123"/>
    <xdr:sp macro="" textlink="">
      <xdr:nvSpPr>
        <xdr:cNvPr id="60" name="TextBox 59">
          <a:extLst>
            <a:ext uri="{FF2B5EF4-FFF2-40B4-BE49-F238E27FC236}">
              <a16:creationId xmlns:a16="http://schemas.microsoft.com/office/drawing/2014/main" id="{9FFAA924-0C02-B3FE-A91F-DE35B5B25B47}"/>
            </a:ext>
          </a:extLst>
        </xdr:cNvPr>
        <xdr:cNvSpPr txBox="1"/>
      </xdr:nvSpPr>
      <xdr:spPr>
        <a:xfrm>
          <a:off x="1128155" y="154382"/>
          <a:ext cx="4043158"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3200" b="1">
              <a:solidFill>
                <a:schemeClr val="bg1"/>
              </a:solidFill>
              <a:latin typeface="Poppins" panose="00000500000000000000" pitchFamily="2" charset="0"/>
              <a:ea typeface="+mn-ea"/>
              <a:cs typeface="Poppins" panose="00000500000000000000" pitchFamily="2" charset="0"/>
            </a:rPr>
            <a:t>SALES DASHBOARD</a:t>
          </a:r>
        </a:p>
      </xdr:txBody>
    </xdr:sp>
    <xdr:clientData/>
  </xdr:oneCellAnchor>
  <xdr:oneCellAnchor>
    <xdr:from>
      <xdr:col>1</xdr:col>
      <xdr:colOff>484909</xdr:colOff>
      <xdr:row>3</xdr:row>
      <xdr:rowOff>164279</xdr:rowOff>
    </xdr:from>
    <xdr:ext cx="1436675" cy="282450"/>
    <xdr:sp macro="" textlink="">
      <xdr:nvSpPr>
        <xdr:cNvPr id="61" name="TextBox 60">
          <a:extLst>
            <a:ext uri="{FF2B5EF4-FFF2-40B4-BE49-F238E27FC236}">
              <a16:creationId xmlns:a16="http://schemas.microsoft.com/office/drawing/2014/main" id="{E90C4D38-EC96-4E87-A4DA-8D2469D32B53}"/>
            </a:ext>
          </a:extLst>
        </xdr:cNvPr>
        <xdr:cNvSpPr txBox="1"/>
      </xdr:nvSpPr>
      <xdr:spPr>
        <a:xfrm>
          <a:off x="1149928" y="734295"/>
          <a:ext cx="1436675"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accent2"/>
              </a:solidFill>
              <a:latin typeface="Poppins" panose="00000500000000000000" pitchFamily="2" charset="0"/>
              <a:cs typeface="Poppins" panose="00000500000000000000" pitchFamily="2" charset="0"/>
            </a:rPr>
            <a:t>SUPERMART</a:t>
          </a:r>
          <a:r>
            <a:rPr lang="en-IN" sz="1100" b="1" baseline="0">
              <a:solidFill>
                <a:schemeClr val="accent2"/>
              </a:solidFill>
            </a:rPr>
            <a:t> </a:t>
          </a:r>
          <a:r>
            <a:rPr lang="en-IN" sz="1100" b="1" baseline="0">
              <a:solidFill>
                <a:schemeClr val="accent2"/>
              </a:solidFill>
              <a:latin typeface="Poppins" panose="00000500000000000000" pitchFamily="2" charset="0"/>
              <a:cs typeface="Poppins" panose="00000500000000000000" pitchFamily="2" charset="0"/>
            </a:rPr>
            <a:t>SHOP</a:t>
          </a:r>
          <a:endParaRPr lang="en-IN" sz="1100" b="1">
            <a:solidFill>
              <a:schemeClr val="accent2"/>
            </a:solidFill>
            <a:latin typeface="Poppins" panose="00000500000000000000" pitchFamily="2" charset="0"/>
            <a:cs typeface="Poppins" panose="00000500000000000000" pitchFamily="2" charset="0"/>
          </a:endParaRPr>
        </a:p>
      </xdr:txBody>
    </xdr:sp>
    <xdr:clientData/>
  </xdr:oneCellAnchor>
  <xdr:oneCellAnchor>
    <xdr:from>
      <xdr:col>3</xdr:col>
      <xdr:colOff>130628</xdr:colOff>
      <xdr:row>7</xdr:row>
      <xdr:rowOff>106877</xdr:rowOff>
    </xdr:from>
    <xdr:ext cx="1073051" cy="279948"/>
    <xdr:sp macro="" textlink="">
      <xdr:nvSpPr>
        <xdr:cNvPr id="62" name="TextBox 61">
          <a:extLst>
            <a:ext uri="{FF2B5EF4-FFF2-40B4-BE49-F238E27FC236}">
              <a16:creationId xmlns:a16="http://schemas.microsoft.com/office/drawing/2014/main" id="{38A1ADCA-61FA-4E25-93D3-10994A9AA59E}"/>
            </a:ext>
          </a:extLst>
        </xdr:cNvPr>
        <xdr:cNvSpPr txBox="1"/>
      </xdr:nvSpPr>
      <xdr:spPr>
        <a:xfrm>
          <a:off x="2125682" y="1436913"/>
          <a:ext cx="107305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accent2"/>
              </a:solidFill>
              <a:latin typeface="Poppins" panose="00000500000000000000" pitchFamily="2" charset="0"/>
              <a:cs typeface="Poppins" panose="00000500000000000000" pitchFamily="2" charset="0"/>
            </a:rPr>
            <a:t>TOTAL</a:t>
          </a:r>
          <a:r>
            <a:rPr lang="en-IN" sz="1100" b="1" baseline="0">
              <a:solidFill>
                <a:schemeClr val="accent2"/>
              </a:solidFill>
              <a:latin typeface="Poppins" panose="00000500000000000000" pitchFamily="2" charset="0"/>
              <a:cs typeface="Poppins" panose="00000500000000000000" pitchFamily="2" charset="0"/>
            </a:rPr>
            <a:t> SALES</a:t>
          </a:r>
        </a:p>
      </xdr:txBody>
    </xdr:sp>
    <xdr:clientData/>
  </xdr:oneCellAnchor>
  <xdr:oneCellAnchor>
    <xdr:from>
      <xdr:col>7</xdr:col>
      <xdr:colOff>639289</xdr:colOff>
      <xdr:row>7</xdr:row>
      <xdr:rowOff>116774</xdr:rowOff>
    </xdr:from>
    <xdr:ext cx="1157753" cy="279948"/>
    <xdr:sp macro="" textlink="">
      <xdr:nvSpPr>
        <xdr:cNvPr id="63" name="TextBox 62">
          <a:extLst>
            <a:ext uri="{FF2B5EF4-FFF2-40B4-BE49-F238E27FC236}">
              <a16:creationId xmlns:a16="http://schemas.microsoft.com/office/drawing/2014/main" id="{8C5D07E0-184A-4312-AEAB-B8C3306B4540}"/>
            </a:ext>
          </a:extLst>
        </xdr:cNvPr>
        <xdr:cNvSpPr txBox="1"/>
      </xdr:nvSpPr>
      <xdr:spPr>
        <a:xfrm>
          <a:off x="5294416" y="1446810"/>
          <a:ext cx="1157753"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accent2"/>
              </a:solidFill>
              <a:latin typeface="Poppins" panose="00000500000000000000" pitchFamily="2" charset="0"/>
              <a:cs typeface="Poppins" panose="00000500000000000000" pitchFamily="2" charset="0"/>
            </a:rPr>
            <a:t>TOTAL</a:t>
          </a:r>
          <a:r>
            <a:rPr lang="en-IN" sz="1100" b="1" baseline="0">
              <a:solidFill>
                <a:schemeClr val="accent2"/>
              </a:solidFill>
              <a:latin typeface="Poppins" panose="00000500000000000000" pitchFamily="2" charset="0"/>
              <a:cs typeface="Poppins" panose="00000500000000000000" pitchFamily="2" charset="0"/>
            </a:rPr>
            <a:t> PROFIT</a:t>
          </a:r>
          <a:endParaRPr lang="en-IN" sz="1100" b="1">
            <a:solidFill>
              <a:schemeClr val="accent2"/>
            </a:solidFill>
            <a:latin typeface="Poppins" panose="00000500000000000000" pitchFamily="2" charset="0"/>
            <a:cs typeface="Poppins" panose="00000500000000000000" pitchFamily="2" charset="0"/>
          </a:endParaRPr>
        </a:p>
      </xdr:txBody>
    </xdr:sp>
    <xdr:clientData/>
  </xdr:oneCellAnchor>
  <xdr:oneCellAnchor>
    <xdr:from>
      <xdr:col>12</xdr:col>
      <xdr:colOff>506679</xdr:colOff>
      <xdr:row>7</xdr:row>
      <xdr:rowOff>102918</xdr:rowOff>
    </xdr:from>
    <xdr:ext cx="835550" cy="279948"/>
    <xdr:sp macro="" textlink="">
      <xdr:nvSpPr>
        <xdr:cNvPr id="64" name="TextBox 63">
          <a:extLst>
            <a:ext uri="{FF2B5EF4-FFF2-40B4-BE49-F238E27FC236}">
              <a16:creationId xmlns:a16="http://schemas.microsoft.com/office/drawing/2014/main" id="{FA357690-789D-45EC-91D9-770808F49F37}"/>
            </a:ext>
          </a:extLst>
        </xdr:cNvPr>
        <xdr:cNvSpPr txBox="1"/>
      </xdr:nvSpPr>
      <xdr:spPr>
        <a:xfrm>
          <a:off x="8486898" y="1432954"/>
          <a:ext cx="8355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baseline="0">
              <a:solidFill>
                <a:schemeClr val="accent2"/>
              </a:solidFill>
              <a:latin typeface="Poppins" panose="00000500000000000000" pitchFamily="2" charset="0"/>
              <a:cs typeface="Poppins" panose="00000500000000000000" pitchFamily="2" charset="0"/>
            </a:rPr>
            <a:t>PROFIT %</a:t>
          </a:r>
          <a:endParaRPr lang="en-IN" sz="1100" b="1">
            <a:solidFill>
              <a:schemeClr val="accent2"/>
            </a:solidFill>
            <a:latin typeface="Poppins" panose="00000500000000000000" pitchFamily="2" charset="0"/>
            <a:cs typeface="Poppins" panose="00000500000000000000" pitchFamily="2" charset="0"/>
          </a:endParaRPr>
        </a:p>
      </xdr:txBody>
    </xdr:sp>
    <xdr:clientData/>
  </xdr:oneCellAnchor>
  <xdr:oneCellAnchor>
    <xdr:from>
      <xdr:col>20</xdr:col>
      <xdr:colOff>469073</xdr:colOff>
      <xdr:row>8</xdr:row>
      <xdr:rowOff>77191</xdr:rowOff>
    </xdr:from>
    <xdr:ext cx="950901" cy="467564"/>
    <xdr:sp macro="" textlink="">
      <xdr:nvSpPr>
        <xdr:cNvPr id="65" name="TextBox 64">
          <a:extLst>
            <a:ext uri="{FF2B5EF4-FFF2-40B4-BE49-F238E27FC236}">
              <a16:creationId xmlns:a16="http://schemas.microsoft.com/office/drawing/2014/main" id="{3192B0E8-3634-428F-B332-BE8E813F99F3}"/>
            </a:ext>
          </a:extLst>
        </xdr:cNvPr>
        <xdr:cNvSpPr txBox="1"/>
      </xdr:nvSpPr>
      <xdr:spPr>
        <a:xfrm>
          <a:off x="13769437" y="1597232"/>
          <a:ext cx="950901" cy="467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chemeClr val="accent2"/>
              </a:solidFill>
              <a:latin typeface="Poppins" panose="00000500000000000000" pitchFamily="2" charset="0"/>
              <a:cs typeface="Poppins" panose="00000500000000000000" pitchFamily="2" charset="0"/>
            </a:rPr>
            <a:t>TOP</a:t>
          </a:r>
        </a:p>
        <a:p>
          <a:pPr algn="ctr"/>
          <a:r>
            <a:rPr lang="en-IN" sz="1100" b="1">
              <a:solidFill>
                <a:schemeClr val="accent2"/>
              </a:solidFill>
              <a:latin typeface="Poppins" panose="00000500000000000000" pitchFamily="2" charset="0"/>
              <a:cs typeface="Poppins" panose="00000500000000000000" pitchFamily="2" charset="0"/>
            </a:rPr>
            <a:t>CATEGORY</a:t>
          </a:r>
        </a:p>
      </xdr:txBody>
    </xdr:sp>
    <xdr:clientData/>
  </xdr:oneCellAnchor>
  <xdr:oneCellAnchor>
    <xdr:from>
      <xdr:col>17</xdr:col>
      <xdr:colOff>645222</xdr:colOff>
      <xdr:row>8</xdr:row>
      <xdr:rowOff>87087</xdr:rowOff>
    </xdr:from>
    <xdr:ext cx="866006" cy="467564"/>
    <xdr:sp macro="" textlink="">
      <xdr:nvSpPr>
        <xdr:cNvPr id="66" name="TextBox 65">
          <a:extLst>
            <a:ext uri="{FF2B5EF4-FFF2-40B4-BE49-F238E27FC236}">
              <a16:creationId xmlns:a16="http://schemas.microsoft.com/office/drawing/2014/main" id="{1E5C1690-A72C-442A-9011-E3484DFE2CB2}"/>
            </a:ext>
          </a:extLst>
        </xdr:cNvPr>
        <xdr:cNvSpPr txBox="1"/>
      </xdr:nvSpPr>
      <xdr:spPr>
        <a:xfrm>
          <a:off x="11950531" y="1607128"/>
          <a:ext cx="866006" cy="467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chemeClr val="accent2"/>
              </a:solidFill>
              <a:latin typeface="Poppins" panose="00000500000000000000" pitchFamily="2" charset="0"/>
              <a:cs typeface="Poppins" panose="00000500000000000000" pitchFamily="2" charset="0"/>
            </a:rPr>
            <a:t>TOP</a:t>
          </a:r>
        </a:p>
        <a:p>
          <a:pPr algn="ctr"/>
          <a:r>
            <a:rPr lang="en-IN" sz="1100" b="1">
              <a:solidFill>
                <a:schemeClr val="accent2"/>
              </a:solidFill>
              <a:latin typeface="Poppins" panose="00000500000000000000" pitchFamily="2" charset="0"/>
              <a:cs typeface="Poppins" panose="00000500000000000000" pitchFamily="2" charset="0"/>
            </a:rPr>
            <a:t>PRODUCT</a:t>
          </a:r>
        </a:p>
      </xdr:txBody>
    </xdr:sp>
    <xdr:clientData/>
  </xdr:oneCellAnchor>
  <xdr:oneCellAnchor>
    <xdr:from>
      <xdr:col>3</xdr:col>
      <xdr:colOff>114797</xdr:colOff>
      <xdr:row>8</xdr:row>
      <xdr:rowOff>150424</xdr:rowOff>
    </xdr:from>
    <xdr:ext cx="1673535" cy="554400"/>
    <xdr:sp macro="" textlink="Analysis!F5">
      <xdr:nvSpPr>
        <xdr:cNvPr id="67" name="TextBox 66">
          <a:extLst>
            <a:ext uri="{FF2B5EF4-FFF2-40B4-BE49-F238E27FC236}">
              <a16:creationId xmlns:a16="http://schemas.microsoft.com/office/drawing/2014/main" id="{C73E29D5-20C1-4349-A809-335E8C6C1B57}"/>
            </a:ext>
          </a:extLst>
        </xdr:cNvPr>
        <xdr:cNvSpPr txBox="1"/>
      </xdr:nvSpPr>
      <xdr:spPr>
        <a:xfrm>
          <a:off x="2109851" y="1670465"/>
          <a:ext cx="1673535" cy="55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48C7271-B830-4E50-A4BA-AE8BE4E99A24}" type="TxLink">
            <a:rPr lang="en-US" sz="2400" b="1">
              <a:solidFill>
                <a:schemeClr val="bg1"/>
              </a:solidFill>
              <a:latin typeface="Poppins" panose="00000500000000000000" pitchFamily="2" charset="0"/>
              <a:ea typeface="+mn-ea"/>
              <a:cs typeface="Poppins" panose="00000500000000000000" pitchFamily="2" charset="0"/>
            </a:rPr>
            <a:pPr marL="0" indent="0"/>
            <a:t>$4,01,412 </a:t>
          </a:fld>
          <a:endParaRPr lang="en-IN" sz="2400" b="1">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10</xdr:col>
      <xdr:colOff>231570</xdr:colOff>
      <xdr:row>13</xdr:row>
      <xdr:rowOff>77191</xdr:rowOff>
    </xdr:from>
    <xdr:ext cx="866006" cy="279948"/>
    <xdr:sp macro="" textlink="">
      <xdr:nvSpPr>
        <xdr:cNvPr id="68" name="TextBox 67">
          <a:extLst>
            <a:ext uri="{FF2B5EF4-FFF2-40B4-BE49-F238E27FC236}">
              <a16:creationId xmlns:a16="http://schemas.microsoft.com/office/drawing/2014/main" id="{A1E3AB4E-F580-419C-903F-99F1B3E19750}"/>
            </a:ext>
          </a:extLst>
        </xdr:cNvPr>
        <xdr:cNvSpPr txBox="1"/>
      </xdr:nvSpPr>
      <xdr:spPr>
        <a:xfrm>
          <a:off x="6881751" y="2547258"/>
          <a:ext cx="86600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Poppins" panose="00000500000000000000" pitchFamily="2" charset="0"/>
              <a:ea typeface="+mn-ea"/>
              <a:cs typeface="Poppins" panose="00000500000000000000" pitchFamily="2" charset="0"/>
            </a:rPr>
            <a:t>PRODUCT</a:t>
          </a:r>
        </a:p>
      </xdr:txBody>
    </xdr:sp>
    <xdr:clientData/>
  </xdr:oneCellAnchor>
  <xdr:oneCellAnchor>
    <xdr:from>
      <xdr:col>3</xdr:col>
      <xdr:colOff>585851</xdr:colOff>
      <xdr:row>13</xdr:row>
      <xdr:rowOff>110837</xdr:rowOff>
    </xdr:from>
    <xdr:ext cx="885307" cy="279948"/>
    <xdr:sp macro="" textlink="">
      <xdr:nvSpPr>
        <xdr:cNvPr id="69" name="TextBox 68">
          <a:extLst>
            <a:ext uri="{FF2B5EF4-FFF2-40B4-BE49-F238E27FC236}">
              <a16:creationId xmlns:a16="http://schemas.microsoft.com/office/drawing/2014/main" id="{356B599A-3F37-4CB9-944D-A15C5606B385}"/>
            </a:ext>
          </a:extLst>
        </xdr:cNvPr>
        <xdr:cNvSpPr txBox="1"/>
      </xdr:nvSpPr>
      <xdr:spPr>
        <a:xfrm>
          <a:off x="2580905" y="2580904"/>
          <a:ext cx="88530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latin typeface="Poppins" panose="00000500000000000000" pitchFamily="2" charset="0"/>
              <a:cs typeface="Poppins" panose="00000500000000000000" pitchFamily="2" charset="0"/>
            </a:rPr>
            <a:t>MONTHLY</a:t>
          </a:r>
        </a:p>
      </xdr:txBody>
    </xdr:sp>
    <xdr:clientData/>
  </xdr:oneCellAnchor>
  <xdr:oneCellAnchor>
    <xdr:from>
      <xdr:col>12</xdr:col>
      <xdr:colOff>512618</xdr:colOff>
      <xdr:row>8</xdr:row>
      <xdr:rowOff>150424</xdr:rowOff>
    </xdr:from>
    <xdr:ext cx="743922" cy="554400"/>
    <xdr:sp macro="" textlink="Analysis!F7">
      <xdr:nvSpPr>
        <xdr:cNvPr id="70" name="TextBox 69">
          <a:extLst>
            <a:ext uri="{FF2B5EF4-FFF2-40B4-BE49-F238E27FC236}">
              <a16:creationId xmlns:a16="http://schemas.microsoft.com/office/drawing/2014/main" id="{7F8229F3-376F-4E2B-8C3C-CAD4A06107D6}"/>
            </a:ext>
          </a:extLst>
        </xdr:cNvPr>
        <xdr:cNvSpPr txBox="1"/>
      </xdr:nvSpPr>
      <xdr:spPr>
        <a:xfrm>
          <a:off x="8492837" y="1670465"/>
          <a:ext cx="743922" cy="55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221AF67-C130-41E1-97D8-047ECE9FBBEE}" type="TxLink">
            <a:rPr lang="en-US" sz="2400" b="1">
              <a:solidFill>
                <a:schemeClr val="bg1"/>
              </a:solidFill>
              <a:latin typeface="Poppins" panose="00000500000000000000" pitchFamily="2" charset="0"/>
              <a:ea typeface="+mn-ea"/>
              <a:cs typeface="Poppins" panose="00000500000000000000" pitchFamily="2" charset="0"/>
            </a:rPr>
            <a:pPr marL="0" indent="0"/>
            <a:t>21%</a:t>
          </a:fld>
          <a:endParaRPr lang="en-IN" sz="2400" b="1">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7</xdr:col>
      <xdr:colOff>641269</xdr:colOff>
      <xdr:row>8</xdr:row>
      <xdr:rowOff>150424</xdr:rowOff>
    </xdr:from>
    <xdr:ext cx="1545359" cy="554400"/>
    <xdr:sp macro="" textlink="Analysis!F6">
      <xdr:nvSpPr>
        <xdr:cNvPr id="71" name="TextBox 70">
          <a:extLst>
            <a:ext uri="{FF2B5EF4-FFF2-40B4-BE49-F238E27FC236}">
              <a16:creationId xmlns:a16="http://schemas.microsoft.com/office/drawing/2014/main" id="{C6124FB3-BC64-4617-9314-987F31C7ACCA}"/>
            </a:ext>
          </a:extLst>
        </xdr:cNvPr>
        <xdr:cNvSpPr txBox="1"/>
      </xdr:nvSpPr>
      <xdr:spPr>
        <a:xfrm>
          <a:off x="5296396" y="1670465"/>
          <a:ext cx="1545359" cy="55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2F5ABEF7-EC03-4327-9CB0-CCF6912DF42B}" type="TxLink">
            <a:rPr lang="en-US" sz="2400" b="1">
              <a:solidFill>
                <a:schemeClr val="bg1"/>
              </a:solidFill>
              <a:latin typeface="Poppins" panose="00000500000000000000" pitchFamily="2" charset="0"/>
              <a:ea typeface="+mn-ea"/>
              <a:cs typeface="Poppins" panose="00000500000000000000" pitchFamily="2" charset="0"/>
            </a:rPr>
            <a:pPr marL="0" indent="0"/>
            <a:t>$68,908 </a:t>
          </a:fld>
          <a:endParaRPr lang="en-IN" sz="2400" b="1">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18</xdr:col>
      <xdr:colOff>98961</xdr:colOff>
      <xdr:row>20</xdr:row>
      <xdr:rowOff>122713</xdr:rowOff>
    </xdr:from>
    <xdr:ext cx="950901" cy="279948"/>
    <xdr:sp macro="" textlink="">
      <xdr:nvSpPr>
        <xdr:cNvPr id="72" name="TextBox 71">
          <a:extLst>
            <a:ext uri="{FF2B5EF4-FFF2-40B4-BE49-F238E27FC236}">
              <a16:creationId xmlns:a16="http://schemas.microsoft.com/office/drawing/2014/main" id="{68273922-5D0F-4435-B4C7-7819535190D0}"/>
            </a:ext>
          </a:extLst>
        </xdr:cNvPr>
        <xdr:cNvSpPr txBox="1"/>
      </xdr:nvSpPr>
      <xdr:spPr>
        <a:xfrm>
          <a:off x="12069288" y="3922817"/>
          <a:ext cx="95090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Poppins" panose="00000500000000000000" pitchFamily="2" charset="0"/>
              <a:ea typeface="+mn-ea"/>
              <a:cs typeface="Poppins" panose="00000500000000000000" pitchFamily="2" charset="0"/>
            </a:rPr>
            <a:t>CATEGORY</a:t>
          </a:r>
        </a:p>
      </xdr:txBody>
    </xdr:sp>
    <xdr:clientData/>
  </xdr:oneCellAnchor>
  <xdr:oneCellAnchor>
    <xdr:from>
      <xdr:col>3</xdr:col>
      <xdr:colOff>571996</xdr:colOff>
      <xdr:row>30</xdr:row>
      <xdr:rowOff>25731</xdr:rowOff>
    </xdr:from>
    <xdr:ext cx="596125" cy="279948"/>
    <xdr:sp macro="" textlink="">
      <xdr:nvSpPr>
        <xdr:cNvPr id="73" name="TextBox 72">
          <a:extLst>
            <a:ext uri="{FF2B5EF4-FFF2-40B4-BE49-F238E27FC236}">
              <a16:creationId xmlns:a16="http://schemas.microsoft.com/office/drawing/2014/main" id="{FAF5AC77-685A-4487-AC77-59EF512448A2}"/>
            </a:ext>
          </a:extLst>
        </xdr:cNvPr>
        <xdr:cNvSpPr txBox="1"/>
      </xdr:nvSpPr>
      <xdr:spPr>
        <a:xfrm>
          <a:off x="2567050" y="5725887"/>
          <a:ext cx="59612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Poppins" panose="00000500000000000000" pitchFamily="2" charset="0"/>
              <a:ea typeface="+mn-ea"/>
              <a:cs typeface="Poppins" panose="00000500000000000000" pitchFamily="2" charset="0"/>
            </a:rPr>
            <a:t>DAILY</a:t>
          </a:r>
        </a:p>
      </xdr:txBody>
    </xdr:sp>
    <xdr:clientData/>
  </xdr:oneCellAnchor>
  <xdr:oneCellAnchor>
    <xdr:from>
      <xdr:col>14</xdr:col>
      <xdr:colOff>605642</xdr:colOff>
      <xdr:row>29</xdr:row>
      <xdr:rowOff>178131</xdr:rowOff>
    </xdr:from>
    <xdr:ext cx="1314847" cy="279948"/>
    <xdr:sp macro="" textlink="">
      <xdr:nvSpPr>
        <xdr:cNvPr id="74" name="TextBox 73">
          <a:extLst>
            <a:ext uri="{FF2B5EF4-FFF2-40B4-BE49-F238E27FC236}">
              <a16:creationId xmlns:a16="http://schemas.microsoft.com/office/drawing/2014/main" id="{58292529-0815-41DC-A96D-7987C5F4284B}"/>
            </a:ext>
          </a:extLst>
        </xdr:cNvPr>
        <xdr:cNvSpPr txBox="1"/>
      </xdr:nvSpPr>
      <xdr:spPr>
        <a:xfrm>
          <a:off x="9915896" y="5688281"/>
          <a:ext cx="131484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Poppins" panose="00000500000000000000" pitchFamily="2" charset="0"/>
              <a:ea typeface="+mn-ea"/>
              <a:cs typeface="Poppins" panose="00000500000000000000" pitchFamily="2" charset="0"/>
            </a:rPr>
            <a:t>PAYMENT MODE</a:t>
          </a:r>
        </a:p>
      </xdr:txBody>
    </xdr:sp>
    <xdr:clientData/>
  </xdr:oneCellAnchor>
  <xdr:oneCellAnchor>
    <xdr:from>
      <xdr:col>14</xdr:col>
      <xdr:colOff>532410</xdr:colOff>
      <xdr:row>13</xdr:row>
      <xdr:rowOff>45525</xdr:rowOff>
    </xdr:from>
    <xdr:ext cx="969176" cy="279948"/>
    <xdr:sp macro="" textlink="">
      <xdr:nvSpPr>
        <xdr:cNvPr id="75" name="TextBox 74">
          <a:extLst>
            <a:ext uri="{FF2B5EF4-FFF2-40B4-BE49-F238E27FC236}">
              <a16:creationId xmlns:a16="http://schemas.microsoft.com/office/drawing/2014/main" id="{949705FD-8AB2-4275-8B41-5D8EEBE10EC7}"/>
            </a:ext>
          </a:extLst>
        </xdr:cNvPr>
        <xdr:cNvSpPr txBox="1"/>
      </xdr:nvSpPr>
      <xdr:spPr>
        <a:xfrm>
          <a:off x="9842664" y="2515592"/>
          <a:ext cx="96917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Poppins" panose="00000500000000000000" pitchFamily="2" charset="0"/>
              <a:ea typeface="+mn-ea"/>
              <a:cs typeface="Poppins" panose="00000500000000000000" pitchFamily="2" charset="0"/>
            </a:rPr>
            <a:t>SALES TYPE</a:t>
          </a:r>
        </a:p>
      </xdr:txBody>
    </xdr:sp>
    <xdr:clientData/>
  </xdr:oneCellAnchor>
  <xdr:oneCellAnchor>
    <xdr:from>
      <xdr:col>17</xdr:col>
      <xdr:colOff>633352</xdr:colOff>
      <xdr:row>10</xdr:row>
      <xdr:rowOff>75214</xdr:rowOff>
    </xdr:from>
    <xdr:ext cx="927690" cy="323165"/>
    <xdr:sp macro="" textlink="Analysis!W1">
      <xdr:nvSpPr>
        <xdr:cNvPr id="76" name="TextBox 75">
          <a:extLst>
            <a:ext uri="{FF2B5EF4-FFF2-40B4-BE49-F238E27FC236}">
              <a16:creationId xmlns:a16="http://schemas.microsoft.com/office/drawing/2014/main" id="{332A909B-4613-46B4-A382-F2E324FE4CC2}"/>
            </a:ext>
          </a:extLst>
        </xdr:cNvPr>
        <xdr:cNvSpPr txBox="1"/>
      </xdr:nvSpPr>
      <xdr:spPr>
        <a:xfrm>
          <a:off x="11938661" y="1975265"/>
          <a:ext cx="927690"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F02CCA8-95BC-41F0-9B8B-2936DE25FF5B}" type="TxLink">
            <a:rPr lang="en-US" sz="1200" b="0">
              <a:solidFill>
                <a:schemeClr val="bg1"/>
              </a:solidFill>
              <a:latin typeface="Poppins" panose="00000500000000000000" pitchFamily="2" charset="0"/>
              <a:ea typeface="+mn-ea"/>
              <a:cs typeface="Poppins" panose="00000500000000000000" pitchFamily="2" charset="0"/>
            </a:rPr>
            <a:pPr marL="0" indent="0"/>
            <a:t>Product41</a:t>
          </a:fld>
          <a:endParaRPr lang="en-IN" sz="1200" b="0">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18</xdr:col>
      <xdr:colOff>63337</xdr:colOff>
      <xdr:row>11</xdr:row>
      <xdr:rowOff>134589</xdr:rowOff>
    </xdr:from>
    <xdr:ext cx="423449" cy="297004"/>
    <xdr:sp macro="" textlink="Analysis!Z1">
      <xdr:nvSpPr>
        <xdr:cNvPr id="77" name="TextBox 76">
          <a:extLst>
            <a:ext uri="{FF2B5EF4-FFF2-40B4-BE49-F238E27FC236}">
              <a16:creationId xmlns:a16="http://schemas.microsoft.com/office/drawing/2014/main" id="{46CAEF79-7F48-4519-B84B-73E17EFAFDAF}"/>
            </a:ext>
          </a:extLst>
        </xdr:cNvPr>
        <xdr:cNvSpPr txBox="1"/>
      </xdr:nvSpPr>
      <xdr:spPr>
        <a:xfrm>
          <a:off x="12033664" y="2224646"/>
          <a:ext cx="42344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r"/>
          <a:fld id="{F8C370C8-BF7C-40DC-B5ED-3F4664334E74}" type="TxLink">
            <a:rPr lang="en-US" sz="1200" b="1">
              <a:solidFill>
                <a:schemeClr val="bg1"/>
              </a:solidFill>
              <a:latin typeface="Poppins" panose="00000500000000000000" pitchFamily="2" charset="0"/>
              <a:ea typeface="+mn-ea"/>
              <a:cs typeface="Poppins" panose="00000500000000000000" pitchFamily="2" charset="0"/>
            </a:rPr>
            <a:pPr marL="0" indent="0" algn="r"/>
            <a:t>132</a:t>
          </a:fld>
          <a:endParaRPr lang="en-IN" sz="1200" b="1">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18</xdr:col>
      <xdr:colOff>435428</xdr:colOff>
      <xdr:row>11</xdr:row>
      <xdr:rowOff>126677</xdr:rowOff>
    </xdr:from>
    <xdr:ext cx="331309" cy="297004"/>
    <xdr:sp macro="" textlink="Analysis!X1">
      <xdr:nvSpPr>
        <xdr:cNvPr id="78" name="TextBox 77">
          <a:extLst>
            <a:ext uri="{FF2B5EF4-FFF2-40B4-BE49-F238E27FC236}">
              <a16:creationId xmlns:a16="http://schemas.microsoft.com/office/drawing/2014/main" id="{45376749-FD89-4804-BE82-ACA4598723CD}"/>
            </a:ext>
          </a:extLst>
        </xdr:cNvPr>
        <xdr:cNvSpPr txBox="1"/>
      </xdr:nvSpPr>
      <xdr:spPr>
        <a:xfrm>
          <a:off x="12405755" y="2216734"/>
          <a:ext cx="33130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AC5450D6-3D04-4EA5-A391-BFB9646CD35B}" type="TxLink">
            <a:rPr lang="en-US" sz="1200" b="1">
              <a:solidFill>
                <a:schemeClr val="bg1"/>
              </a:solidFill>
              <a:latin typeface="Poppins" panose="00000500000000000000" pitchFamily="2" charset="0"/>
              <a:ea typeface="+mn-ea"/>
              <a:cs typeface="Poppins" panose="00000500000000000000" pitchFamily="2" charset="0"/>
            </a:rPr>
            <a:pPr marL="0" indent="0"/>
            <a:t>Ft</a:t>
          </a:fld>
          <a:endParaRPr lang="en-IN" sz="1200" b="1">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17</xdr:col>
      <xdr:colOff>637310</xdr:colOff>
      <xdr:row>13</xdr:row>
      <xdr:rowOff>7920</xdr:rowOff>
    </xdr:from>
    <xdr:ext cx="889026" cy="331116"/>
    <xdr:sp macro="" textlink="Analysis!Y1">
      <xdr:nvSpPr>
        <xdr:cNvPr id="79" name="TextBox 78">
          <a:extLst>
            <a:ext uri="{FF2B5EF4-FFF2-40B4-BE49-F238E27FC236}">
              <a16:creationId xmlns:a16="http://schemas.microsoft.com/office/drawing/2014/main" id="{9F305EB3-79A9-4D3D-AA76-3C092460A3F9}"/>
            </a:ext>
          </a:extLst>
        </xdr:cNvPr>
        <xdr:cNvSpPr txBox="1"/>
      </xdr:nvSpPr>
      <xdr:spPr>
        <a:xfrm>
          <a:off x="11942619" y="2477987"/>
          <a:ext cx="88902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18663E3-A48D-4A91-AF56-1BD42E83741C}" type="TxLink">
            <a:rPr lang="en-US" sz="1400" b="1">
              <a:solidFill>
                <a:schemeClr val="bg1"/>
              </a:solidFill>
              <a:latin typeface="Poppins" panose="00000500000000000000" pitchFamily="2" charset="0"/>
              <a:ea typeface="+mn-ea"/>
              <a:cs typeface="Poppins" panose="00000500000000000000" pitchFamily="2" charset="0"/>
            </a:rPr>
            <a:pPr marL="0" indent="0"/>
            <a:t>$22,952</a:t>
          </a:fld>
          <a:endParaRPr lang="en-IN" sz="1400" b="1">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20</xdr:col>
      <xdr:colOff>447306</xdr:colOff>
      <xdr:row>11</xdr:row>
      <xdr:rowOff>7915</xdr:rowOff>
    </xdr:from>
    <xdr:ext cx="1022780" cy="303929"/>
    <xdr:sp macro="" textlink="Analysis!AJ1">
      <xdr:nvSpPr>
        <xdr:cNvPr id="80" name="TextBox 79">
          <a:extLst>
            <a:ext uri="{FF2B5EF4-FFF2-40B4-BE49-F238E27FC236}">
              <a16:creationId xmlns:a16="http://schemas.microsoft.com/office/drawing/2014/main" id="{A90D7EE7-E1AE-4BCA-BE1E-F5151A982770}"/>
            </a:ext>
          </a:extLst>
        </xdr:cNvPr>
        <xdr:cNvSpPr txBox="1"/>
      </xdr:nvSpPr>
      <xdr:spPr>
        <a:xfrm>
          <a:off x="13747670" y="2097972"/>
          <a:ext cx="1022780"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EA2755FD-8FF2-42A2-9289-59BBF7867625}" type="TxLink">
            <a:rPr lang="en-US" sz="1100" b="0">
              <a:solidFill>
                <a:schemeClr val="bg1"/>
              </a:solidFill>
              <a:latin typeface="Poppins" panose="00000500000000000000" pitchFamily="2" charset="0"/>
              <a:ea typeface="+mn-ea"/>
              <a:cs typeface="Poppins" panose="00000500000000000000" pitchFamily="2" charset="0"/>
            </a:rPr>
            <a:pPr marL="0" indent="0"/>
            <a:t>Category04</a:t>
          </a:fld>
          <a:endParaRPr lang="en-IN" sz="1100" b="0">
            <a:solidFill>
              <a:schemeClr val="bg1"/>
            </a:solidFill>
            <a:latin typeface="Poppins" panose="00000500000000000000" pitchFamily="2" charset="0"/>
            <a:ea typeface="+mn-ea"/>
            <a:cs typeface="Poppins" panose="00000500000000000000" pitchFamily="2" charset="0"/>
          </a:endParaRPr>
        </a:p>
      </xdr:txBody>
    </xdr:sp>
    <xdr:clientData/>
  </xdr:oneCellAnchor>
  <xdr:oneCellAnchor>
    <xdr:from>
      <xdr:col>20</xdr:col>
      <xdr:colOff>506681</xdr:colOff>
      <xdr:row>12</xdr:row>
      <xdr:rowOff>186042</xdr:rowOff>
    </xdr:from>
    <xdr:ext cx="908775" cy="331116"/>
    <xdr:sp macro="" textlink="Analysis!AK1">
      <xdr:nvSpPr>
        <xdr:cNvPr id="81" name="TextBox 80">
          <a:extLst>
            <a:ext uri="{FF2B5EF4-FFF2-40B4-BE49-F238E27FC236}">
              <a16:creationId xmlns:a16="http://schemas.microsoft.com/office/drawing/2014/main" id="{E5505EC7-F154-4F62-8614-3B8DB57BB1D1}"/>
            </a:ext>
          </a:extLst>
        </xdr:cNvPr>
        <xdr:cNvSpPr txBox="1"/>
      </xdr:nvSpPr>
      <xdr:spPr>
        <a:xfrm>
          <a:off x="13807045" y="2466105"/>
          <a:ext cx="908775"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47EAF47-FF3D-4342-B1B7-4E1410E5CAB9}" type="TxLink">
            <a:rPr lang="en-US" sz="1400" b="1">
              <a:solidFill>
                <a:schemeClr val="bg1"/>
              </a:solidFill>
              <a:latin typeface="Poppins" panose="00000500000000000000" pitchFamily="2" charset="0"/>
              <a:ea typeface="+mn-ea"/>
              <a:cs typeface="Poppins" panose="00000500000000000000" pitchFamily="2" charset="0"/>
            </a:rPr>
            <a:pPr marL="0" indent="0"/>
            <a:t>$95,269</a:t>
          </a:fld>
          <a:endParaRPr lang="en-IN" sz="1400" b="1">
            <a:solidFill>
              <a:schemeClr val="bg1"/>
            </a:solidFill>
            <a:latin typeface="Poppins" panose="00000500000000000000" pitchFamily="2" charset="0"/>
            <a:ea typeface="+mn-ea"/>
            <a:cs typeface="Poppins" panose="00000500000000000000" pitchFamily="2" charset="0"/>
          </a:endParaRPr>
        </a:p>
      </xdr:txBody>
    </xdr:sp>
    <xdr:clientData/>
  </xdr:oneCellAnchor>
  <xdr:twoCellAnchor editAs="oneCell">
    <xdr:from>
      <xdr:col>18</xdr:col>
      <xdr:colOff>56619</xdr:colOff>
      <xdr:row>1</xdr:row>
      <xdr:rowOff>130530</xdr:rowOff>
    </xdr:from>
    <xdr:to>
      <xdr:col>22</xdr:col>
      <xdr:colOff>154382</xdr:colOff>
      <xdr:row>5</xdr:row>
      <xdr:rowOff>59377</xdr:rowOff>
    </xdr:to>
    <mc:AlternateContent xmlns:mc="http://schemas.openxmlformats.org/markup-compatibility/2006">
      <mc:Choice xmlns:a14="http://schemas.microsoft.com/office/drawing/2010/main" Requires="a14">
        <xdr:graphicFrame macro="">
          <xdr:nvGraphicFramePr>
            <xdr:cNvPr id="92" name="PAYMENT MODE">
              <a:extLst>
                <a:ext uri="{FF2B5EF4-FFF2-40B4-BE49-F238E27FC236}">
                  <a16:creationId xmlns:a16="http://schemas.microsoft.com/office/drawing/2014/main" id="{D85FA829-CB82-41DA-92E7-8F1C5EDF2B7B}"/>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2026947" y="317566"/>
              <a:ext cx="2757835" cy="676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368135</xdr:colOff>
      <xdr:row>16</xdr:row>
      <xdr:rowOff>80669</xdr:rowOff>
    </xdr:from>
    <xdr:to>
      <xdr:col>2</xdr:col>
      <xdr:colOff>380010</xdr:colOff>
      <xdr:row>36</xdr:row>
      <xdr:rowOff>72736</xdr:rowOff>
    </xdr:to>
    <mc:AlternateContent xmlns:mc="http://schemas.openxmlformats.org/markup-compatibility/2006">
      <mc:Choice xmlns:a14="http://schemas.microsoft.com/office/drawing/2010/main" Requires="a14">
        <xdr:graphicFrame macro="">
          <xdr:nvGraphicFramePr>
            <xdr:cNvPr id="93" name="MONTH">
              <a:extLst>
                <a:ext uri="{FF2B5EF4-FFF2-40B4-BE49-F238E27FC236}">
                  <a16:creationId xmlns:a16="http://schemas.microsoft.com/office/drawing/2014/main" id="{89B1A8B4-9C0C-40B5-B7C2-322DBDDCDF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68135" y="3073250"/>
              <a:ext cx="1341911" cy="3732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478190</xdr:colOff>
      <xdr:row>8</xdr:row>
      <xdr:rowOff>79470</xdr:rowOff>
    </xdr:from>
    <xdr:to>
      <xdr:col>2</xdr:col>
      <xdr:colOff>237507</xdr:colOff>
      <xdr:row>13</xdr:row>
      <xdr:rowOff>142504</xdr:rowOff>
    </xdr:to>
    <mc:AlternateContent xmlns:mc="http://schemas.openxmlformats.org/markup-compatibility/2006">
      <mc:Choice xmlns:a14="http://schemas.microsoft.com/office/drawing/2010/main" Requires="a14">
        <xdr:graphicFrame macro="">
          <xdr:nvGraphicFramePr>
            <xdr:cNvPr id="94" name="YEAR">
              <a:extLst>
                <a:ext uri="{FF2B5EF4-FFF2-40B4-BE49-F238E27FC236}">
                  <a16:creationId xmlns:a16="http://schemas.microsoft.com/office/drawing/2014/main" id="{C06DD15B-BEBF-4057-B338-440AB8E722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8190" y="1575761"/>
              <a:ext cx="1089353" cy="998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249385</xdr:colOff>
      <xdr:row>32</xdr:row>
      <xdr:rowOff>82297</xdr:rowOff>
    </xdr:from>
    <xdr:to>
      <xdr:col>13</xdr:col>
      <xdr:colOff>213758</xdr:colOff>
      <xdr:row>43</xdr:row>
      <xdr:rowOff>35625</xdr:rowOff>
    </xdr:to>
    <xdr:graphicFrame macro="">
      <xdr:nvGraphicFramePr>
        <xdr:cNvPr id="95" name="Chart 94">
          <a:extLst>
            <a:ext uri="{FF2B5EF4-FFF2-40B4-BE49-F238E27FC236}">
              <a16:creationId xmlns:a16="http://schemas.microsoft.com/office/drawing/2014/main" id="{1CC355A1-BB51-4B0D-B6AB-D3264D7E2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xdr:col>
      <xdr:colOff>154382</xdr:colOff>
      <xdr:row>16</xdr:row>
      <xdr:rowOff>48750</xdr:rowOff>
    </xdr:from>
    <xdr:to>
      <xdr:col>9</xdr:col>
      <xdr:colOff>71254</xdr:colOff>
      <xdr:row>27</xdr:row>
      <xdr:rowOff>91368</xdr:rowOff>
    </xdr:to>
    <xdr:graphicFrame macro="">
      <xdr:nvGraphicFramePr>
        <xdr:cNvPr id="96" name="Chart 95">
          <a:extLst>
            <a:ext uri="{FF2B5EF4-FFF2-40B4-BE49-F238E27FC236}">
              <a16:creationId xmlns:a16="http://schemas.microsoft.com/office/drawing/2014/main" id="{054653A5-26B4-4D3D-91DD-EA56C764E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181390</xdr:colOff>
          <xdr:row>13</xdr:row>
          <xdr:rowOff>116775</xdr:rowOff>
        </xdr:from>
        <xdr:to>
          <xdr:col>5</xdr:col>
          <xdr:colOff>513899</xdr:colOff>
          <xdr:row>15</xdr:row>
          <xdr:rowOff>4702</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30AC1F55-95FC-4AEF-8D66-223CF10AD9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198365</xdr:colOff>
          <xdr:row>13</xdr:row>
          <xdr:rowOff>116775</xdr:rowOff>
        </xdr:from>
        <xdr:to>
          <xdr:col>6</xdr:col>
          <xdr:colOff>530874</xdr:colOff>
          <xdr:row>15</xdr:row>
          <xdr:rowOff>6633</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C9396781-0410-494E-8F59-D654A81C6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379166</xdr:colOff>
          <xdr:row>13</xdr:row>
          <xdr:rowOff>116775</xdr:rowOff>
        </xdr:from>
        <xdr:to>
          <xdr:col>8</xdr:col>
          <xdr:colOff>46656</xdr:colOff>
          <xdr:row>15</xdr:row>
          <xdr:rowOff>6633</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9446AC60-E411-4152-9E88-0E3E98EBDC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10</xdr:col>
      <xdr:colOff>37498</xdr:colOff>
      <xdr:row>15</xdr:row>
      <xdr:rowOff>95003</xdr:rowOff>
    </xdr:from>
    <xdr:to>
      <xdr:col>13</xdr:col>
      <xdr:colOff>593766</xdr:colOff>
      <xdr:row>28</xdr:row>
      <xdr:rowOff>95003</xdr:rowOff>
    </xdr:to>
    <xdr:graphicFrame macro="">
      <xdr:nvGraphicFramePr>
        <xdr:cNvPr id="97" name="Chart 96">
          <a:extLst>
            <a:ext uri="{FF2B5EF4-FFF2-40B4-BE49-F238E27FC236}">
              <a16:creationId xmlns:a16="http://schemas.microsoft.com/office/drawing/2014/main" id="{551C4115-35FA-4B6A-A213-3B46E127D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486891</xdr:colOff>
          <xdr:row>16</xdr:row>
          <xdr:rowOff>22323</xdr:rowOff>
        </xdr:from>
        <xdr:to>
          <xdr:col>10</xdr:col>
          <xdr:colOff>6800</xdr:colOff>
          <xdr:row>27</xdr:row>
          <xdr:rowOff>118754</xdr:rowOff>
        </xdr:to>
        <xdr:sp macro="" textlink="">
          <xdr:nvSpPr>
            <xdr:cNvPr id="4105" name="Scroll Bar 9" hidden="1">
              <a:extLst>
                <a:ext uri="{63B3BB69-23CF-44E3-9099-C40C66FF867C}">
                  <a14:compatExt spid="_x0000_s4105"/>
                </a:ext>
                <a:ext uri="{FF2B5EF4-FFF2-40B4-BE49-F238E27FC236}">
                  <a16:creationId xmlns:a16="http://schemas.microsoft.com/office/drawing/2014/main" id="{5E4E97C1-B634-465A-A72A-9878F88506D1}"/>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17</xdr:col>
      <xdr:colOff>463506</xdr:colOff>
      <xdr:row>23</xdr:row>
      <xdr:rowOff>45702</xdr:rowOff>
    </xdr:from>
    <xdr:to>
      <xdr:col>22</xdr:col>
      <xdr:colOff>249382</xdr:colOff>
      <xdr:row>42</xdr:row>
      <xdr:rowOff>166255</xdr:rowOff>
    </xdr:to>
    <mc:AlternateContent xmlns:mc="http://schemas.openxmlformats.org/markup-compatibility/2006">
      <mc:Choice xmlns:cx1="http://schemas.microsoft.com/office/drawing/2015/9/8/chartex" Requires="cx1">
        <xdr:graphicFrame macro="">
          <xdr:nvGraphicFramePr>
            <xdr:cNvPr id="98" name="Chart 97">
              <a:extLst>
                <a:ext uri="{FF2B5EF4-FFF2-40B4-BE49-F238E27FC236}">
                  <a16:creationId xmlns:a16="http://schemas.microsoft.com/office/drawing/2014/main" id="{AD301EB0-93DE-4200-88E7-F7DEFD0F21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2"/>
            </a:graphicData>
          </a:graphic>
        </xdr:graphicFrame>
      </mc:Choice>
      <mc:Fallback>
        <xdr:sp macro="" textlink="">
          <xdr:nvSpPr>
            <xdr:cNvPr id="0" name=""/>
            <xdr:cNvSpPr>
              <a:spLocks noTextEdit="1"/>
            </xdr:cNvSpPr>
          </xdr:nvSpPr>
          <xdr:spPr>
            <a:xfrm>
              <a:off x="11768815" y="4415822"/>
              <a:ext cx="3110967" cy="37306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8228</xdr:colOff>
      <xdr:row>15</xdr:row>
      <xdr:rowOff>106878</xdr:rowOff>
    </xdr:from>
    <xdr:to>
      <xdr:col>16</xdr:col>
      <xdr:colOff>581894</xdr:colOff>
      <xdr:row>27</xdr:row>
      <xdr:rowOff>178131</xdr:rowOff>
    </xdr:to>
    <xdr:graphicFrame macro="">
      <xdr:nvGraphicFramePr>
        <xdr:cNvPr id="99" name="Chart 98">
          <a:extLst>
            <a:ext uri="{FF2B5EF4-FFF2-40B4-BE49-F238E27FC236}">
              <a16:creationId xmlns:a16="http://schemas.microsoft.com/office/drawing/2014/main" id="{A4C7AC54-3D23-4A80-AED2-A18713AB2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14</xdr:col>
      <xdr:colOff>117143</xdr:colOff>
      <xdr:row>32</xdr:row>
      <xdr:rowOff>11876</xdr:rowOff>
    </xdr:from>
    <xdr:to>
      <xdr:col>16</xdr:col>
      <xdr:colOff>581892</xdr:colOff>
      <xdr:row>43</xdr:row>
      <xdr:rowOff>11876</xdr:rowOff>
    </xdr:to>
    <xdr:graphicFrame macro="">
      <xdr:nvGraphicFramePr>
        <xdr:cNvPr id="100" name="Chart 99">
          <a:extLst>
            <a:ext uri="{FF2B5EF4-FFF2-40B4-BE49-F238E27FC236}">
              <a16:creationId xmlns:a16="http://schemas.microsoft.com/office/drawing/2014/main" id="{E18EE9B7-121C-48E5-A57A-60B0974A4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10</xdr:col>
      <xdr:colOff>178129</xdr:colOff>
      <xdr:row>1</xdr:row>
      <xdr:rowOff>154378</xdr:rowOff>
    </xdr:from>
    <xdr:to>
      <xdr:col>17</xdr:col>
      <xdr:colOff>320633</xdr:colOff>
      <xdr:row>5</xdr:row>
      <xdr:rowOff>95001</xdr:rowOff>
    </xdr:to>
    <mc:AlternateContent xmlns:mc="http://schemas.openxmlformats.org/markup-compatibility/2006">
      <mc:Choice xmlns:a14="http://schemas.microsoft.com/office/drawing/2010/main" Requires="a14">
        <xdr:graphicFrame macro="">
          <xdr:nvGraphicFramePr>
            <xdr:cNvPr id="101" name="SALE TYPE">
              <a:extLst>
                <a:ext uri="{FF2B5EF4-FFF2-40B4-BE49-F238E27FC236}">
                  <a16:creationId xmlns:a16="http://schemas.microsoft.com/office/drawing/2014/main" id="{68AC4213-39F5-48A1-9E32-927CCB87AEC7}"/>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dr:sp macro="" textlink="">
          <xdr:nvSpPr>
            <xdr:cNvPr id="0" name=""/>
            <xdr:cNvSpPr>
              <a:spLocks noTextEdit="1"/>
            </xdr:cNvSpPr>
          </xdr:nvSpPr>
          <xdr:spPr>
            <a:xfrm>
              <a:off x="6828310" y="341414"/>
              <a:ext cx="4797632" cy="688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536380</xdr:colOff>
      <xdr:row>13</xdr:row>
      <xdr:rowOff>116775</xdr:rowOff>
    </xdr:from>
    <xdr:ext cx="805990" cy="271421"/>
    <xdr:sp macro="" textlink="">
      <xdr:nvSpPr>
        <xdr:cNvPr id="102" name="TextBox 101">
          <a:extLst>
            <a:ext uri="{FF2B5EF4-FFF2-40B4-BE49-F238E27FC236}">
              <a16:creationId xmlns:a16="http://schemas.microsoft.com/office/drawing/2014/main" id="{4B27EE3D-B9E6-4B72-A6EB-D283B630B229}"/>
            </a:ext>
          </a:extLst>
        </xdr:cNvPr>
        <xdr:cNvSpPr txBox="1"/>
      </xdr:nvSpPr>
      <xdr:spPr>
        <a:xfrm>
          <a:off x="5191507" y="2586842"/>
          <a:ext cx="805990" cy="271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latin typeface="Poppins" panose="00000500000000000000" pitchFamily="2" charset="0"/>
              <a:cs typeface="Poppins" panose="00000500000000000000" pitchFamily="2" charset="0"/>
            </a:rPr>
            <a:t>PROFIT</a:t>
          </a:r>
          <a:r>
            <a:rPr lang="en-IN" sz="1050" b="1" baseline="0">
              <a:solidFill>
                <a:schemeClr val="bg1"/>
              </a:solidFill>
              <a:latin typeface="Poppins" panose="00000500000000000000" pitchFamily="2" charset="0"/>
              <a:cs typeface="Poppins" panose="00000500000000000000" pitchFamily="2" charset="0"/>
            </a:rPr>
            <a:t> %</a:t>
          </a:r>
          <a:endParaRPr lang="en-IN" sz="1050" b="1">
            <a:solidFill>
              <a:schemeClr val="bg1"/>
            </a:solidFill>
            <a:latin typeface="Poppins" panose="00000500000000000000" pitchFamily="2" charset="0"/>
            <a:cs typeface="Poppins" panose="00000500000000000000" pitchFamily="2" charset="0"/>
          </a:endParaRPr>
        </a:p>
      </xdr:txBody>
    </xdr:sp>
    <xdr:clientData/>
  </xdr:oneCellAnchor>
  <xdr:oneCellAnchor>
    <xdr:from>
      <xdr:col>5</xdr:col>
      <xdr:colOff>338603</xdr:colOff>
      <xdr:row>13</xdr:row>
      <xdr:rowOff>116775</xdr:rowOff>
    </xdr:from>
    <xdr:ext cx="495264" cy="271421"/>
    <xdr:sp macro="" textlink="">
      <xdr:nvSpPr>
        <xdr:cNvPr id="103" name="TextBox 102">
          <a:extLst>
            <a:ext uri="{FF2B5EF4-FFF2-40B4-BE49-F238E27FC236}">
              <a16:creationId xmlns:a16="http://schemas.microsoft.com/office/drawing/2014/main" id="{9037D8FD-B2AB-43B2-9910-8113AC9B6E1A}"/>
            </a:ext>
          </a:extLst>
        </xdr:cNvPr>
        <xdr:cNvSpPr txBox="1"/>
      </xdr:nvSpPr>
      <xdr:spPr>
        <a:xfrm>
          <a:off x="3663694" y="2586842"/>
          <a:ext cx="495264" cy="271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latin typeface="Poppins" panose="00000500000000000000" pitchFamily="2" charset="0"/>
              <a:cs typeface="Poppins" panose="00000500000000000000" pitchFamily="2" charset="0"/>
            </a:rPr>
            <a:t>SALE</a:t>
          </a:r>
        </a:p>
      </xdr:txBody>
    </xdr:sp>
    <xdr:clientData/>
  </xdr:oneCellAnchor>
  <xdr:oneCellAnchor>
    <xdr:from>
      <xdr:col>6</xdr:col>
      <xdr:colOff>359297</xdr:colOff>
      <xdr:row>13</xdr:row>
      <xdr:rowOff>116775</xdr:rowOff>
    </xdr:from>
    <xdr:ext cx="651653" cy="271421"/>
    <xdr:sp macro="" textlink="">
      <xdr:nvSpPr>
        <xdr:cNvPr id="104" name="TextBox 103">
          <a:extLst>
            <a:ext uri="{FF2B5EF4-FFF2-40B4-BE49-F238E27FC236}">
              <a16:creationId xmlns:a16="http://schemas.microsoft.com/office/drawing/2014/main" id="{8FEA3691-1C82-464B-9A99-142DE0065EF0}"/>
            </a:ext>
          </a:extLst>
        </xdr:cNvPr>
        <xdr:cNvSpPr txBox="1"/>
      </xdr:nvSpPr>
      <xdr:spPr>
        <a:xfrm>
          <a:off x="4349406" y="2586842"/>
          <a:ext cx="651653" cy="271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latin typeface="Poppins" panose="00000500000000000000" pitchFamily="2" charset="0"/>
              <a:cs typeface="Poppins" panose="00000500000000000000" pitchFamily="2" charset="0"/>
            </a:rPr>
            <a:t>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Kumar Tiwary" refreshedDate="46122.70718229167" createdVersion="8" refreshedVersion="8" minRefreshableVersion="3" recordCount="527" xr:uid="{1C3C066D-4968-49C1-8822-F9AC7E593BA3}">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890918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3A99C1-F2CA-458B-ADE2-C9D3A9D41294}"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
  <location ref="AP2:AQ4"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2">
    <i>
      <x/>
    </i>
    <i>
      <x v="1"/>
    </i>
  </rowItems>
  <colItems count="1">
    <i/>
  </colItems>
  <dataFields count="1">
    <dataField name="TOTAL" fld="12" baseField="3" baseItem="0" numFmtId="165"/>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29046C-2298-49A5-B9A3-3B3A3A91CC1F}" name="Dai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Day">
  <location ref="A2:B33"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TOTAL" fld="12" baseField="13"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035D8-8A94-4791-A91E-71C5C94CD48E}" name="Product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UOM">
  <location ref="Q2:T46" firstHeaderRow="0" firstDataRow="1" firstDataCol="2"/>
  <pivotFields count="16">
    <pivotField compact="0" numFmtId="14" outline="0" showAll="0"/>
    <pivotField compact="0" outline="0" showAll="0"/>
    <pivotField dataField="1"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axis="axisRow"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pivotField>
    <pivotField compact="0" outline="0" showAll="0"/>
    <pivotField axis="axisRow" compact="0" outline="0" showAll="0" includeNewItemsInFilter="1">
      <items count="5">
        <item x="0"/>
        <item sd="0" x="1"/>
        <item x="2"/>
        <item x="3"/>
        <item t="default"/>
      </items>
    </pivotField>
    <pivotField compact="0" numFmtId="165" outline="0" showAll="0"/>
    <pivotField compact="0" numFmtId="165" outline="0" showAll="0"/>
    <pivotField compact="0" numFmtId="165" outline="0" showAll="0"/>
    <pivotField dataField="1" compact="0" numFmtId="165"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VALUE" fld="12" baseField="0" baseItem="0" numFmtId="165"/>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587D2-6F9F-4311-A70B-E1EBD11192B3}"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F2:AG7"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TOTAL" fld="12"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1B0A5F-1079-4C9E-A260-409CA2DDE149}"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
  <location ref="H2:J14"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BE2378-E989-4FBE-A66B-2FBE6F6B0038}" name="SalesTyp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SALE TYPE">
  <location ref="AM2:AN5"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TOTAL" fld="12" baseField="3" baseItem="0" numFmtId="165"/>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D0ED4F-72A5-4578-B6C7-1A4050D749AE}" name="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E2:F3"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DD620BD-E2AE-4AF3-91BF-A9D4832BBE38}" sourceName="PAYMENT MODE">
  <pivotTables>
    <pivotTable tabId="3" name="Productwise"/>
    <pivotTable tabId="3" name="CategoryWise"/>
    <pivotTable tabId="3" name="Daily"/>
    <pivotTable tabId="3" name="Monthly"/>
    <pivotTable tabId="3" name="SalesType"/>
    <pivotTable tabId="3" name="TotalSales"/>
  </pivotTables>
  <data>
    <tabular pivotCacheId="89091885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6A7C21-9BCA-401F-99E3-E9A41E430244}" sourceName="MONTH">
  <pivotTables>
    <pivotTable tabId="3" name="Productwise"/>
    <pivotTable tabId="3" name="CategoryWise"/>
    <pivotTable tabId="3" name="Daily"/>
    <pivotTable tabId="3" name="PaymentMode"/>
    <pivotTable tabId="3" name="SalesType"/>
    <pivotTable tabId="3" name="TotalSales"/>
  </pivotTables>
  <data>
    <tabular pivotCacheId="89091885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3B8F8AF-BF64-438A-8FDC-44018A171F15}" sourceName="YEAR">
  <pivotTables>
    <pivotTable tabId="3" name="Productwise"/>
    <pivotTable tabId="3" name="CategoryWise"/>
    <pivotTable tabId="3" name="Daily"/>
    <pivotTable tabId="3" name="PaymentMode"/>
    <pivotTable tabId="3" name="SalesType"/>
    <pivotTable tabId="3" name="TotalSales"/>
    <pivotTable tabId="3" name="Monthly"/>
  </pivotTables>
  <data>
    <tabular pivotCacheId="8909188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9DF5AF46-2985-47EC-B82F-2C0289D2F71E}" sourceName="SALE TYPE">
  <pivotTables>
    <pivotTable tabId="3" name="Productwise"/>
    <pivotTable tabId="3" name="CategoryWise"/>
    <pivotTable tabId="3" name="Daily"/>
    <pivotTable tabId="3" name="Monthly"/>
    <pivotTable tabId="3" name="PaymentMode"/>
    <pivotTable tabId="3" name="TotalSales"/>
  </pivotTables>
  <data>
    <tabular pivotCacheId="89091885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29F376C1-9D67-47AA-BC05-40CABA2D01FE}" cache="Slicer_PAYMENT_MODE" caption="PAYMENT MODE" columnCount="2" style="SLICER" rowHeight="240723"/>
  <slicer name="MONTH" xr10:uid="{D00E44CD-7E4E-487D-AEB1-1A786779E4C1}" cache="Slicer_MONTH" caption="MONTH" style="SLICER" rowHeight="240723"/>
  <slicer name="YEAR" xr10:uid="{3FC79FB1-3A62-4BBE-80C8-76E8FF1FA897}" cache="Slicer_YEAR" caption="YEAR" style="SLICER" rowHeight="240723"/>
  <slicer name="SALE TYPE" xr10:uid="{F77B6BE4-721F-474C-8F51-68BB2ABDD058}" cache="Slicer_SALE_TYPE" caption="SALE TYPE" columnCount="3" style="SLICER" rowHeight="24072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30" headerRowBorderDxfId="29">
  <autoFilter ref="A1:P528" xr:uid="{60351B27-4213-4B50-AF1E-6DD234ED1CD8}"/>
  <sortState xmlns:xlrd2="http://schemas.microsoft.com/office/spreadsheetml/2017/richdata2" ref="A2:E527">
    <sortCondition ref="A1:A527"/>
  </sortState>
  <tableColumns count="16">
    <tableColumn id="1" xr3:uid="{7E2D9722-C99A-4D79-AD8A-A4AF24D31B15}" name="DATE" dataDxfId="28"/>
    <tableColumn id="3" xr3:uid="{1B687DA1-746A-409E-8132-464ADA2D65F7}" name="PRODUCT ID" dataDxfId="27"/>
    <tableColumn id="2" xr3:uid="{3D21C161-3520-4EEB-95C2-BC89A67F811B}" name="QUANTITY" dataDxfId="26"/>
    <tableColumn id="4" xr3:uid="{51AFA112-3989-4C7A-B537-003512753602}" name="SALE TYPE" dataDxfId="25"/>
    <tableColumn id="5" xr3:uid="{057B8FDA-60FB-4816-999C-2030B688B9CF}" name="PAYMENT MODE" dataDxfId="24"/>
    <tableColumn id="6" xr3:uid="{A77A9445-20AF-4122-92EB-C3706E536AB4}" name="DISCOUNT %" dataDxfId="23"/>
    <tableColumn id="7" xr3:uid="{D8B51363-5CA3-4BA1-9FBE-78DD68216FC5}" name="PRODUCT" dataDxfId="22">
      <calculatedColumnFormula>VLOOKUP(InputData[[#This Row],[PRODUCT ID]],MasterData[],2,)</calculatedColumnFormula>
    </tableColumn>
    <tableColumn id="8" xr3:uid="{4FCBF7A0-B802-49D6-A608-3DDC975BD3B2}" name="CATEGORY" dataDxfId="21">
      <calculatedColumnFormula>VLOOKUP(InputData[[#This Row],[PRODUCT ID]],MasterData[],3,)</calculatedColumnFormula>
    </tableColumn>
    <tableColumn id="9" xr3:uid="{AE46DD25-FC47-469B-A63A-0269328E3FC5}" name="UOM" dataDxfId="20">
      <calculatedColumnFormula>VLOOKUP(InputData[[#This Row],[PRODUCT ID]],MasterData[],4,)</calculatedColumnFormula>
    </tableColumn>
    <tableColumn id="10" xr3:uid="{AA05564D-2989-4976-B2C3-19184C1DFE7E}" name="BUYING PRIZE" dataDxfId="19">
      <calculatedColumnFormula>VLOOKUP(InputData[[#This Row],[PRODUCT ID]],MasterData[],5,)</calculatedColumnFormula>
    </tableColumn>
    <tableColumn id="11" xr3:uid="{D1336741-BB70-49B5-B744-F22123175A33}" name="SELLING PRICE" dataDxfId="18">
      <calculatedColumnFormula>VLOOKUP(InputData[[#This Row],[PRODUCT ID]],MasterData[],6,)</calculatedColumnFormula>
    </tableColumn>
    <tableColumn id="12" xr3:uid="{9452B3E1-5E99-4EB6-AC90-3C797F2496D8}" name="TOTAL BUYING VALUE" dataDxfId="17">
      <calculatedColumnFormula>InputData[[#This Row],[BUYING PRIZE]]*InputData[[#This Row],[QUANTITY]]</calculatedColumnFormula>
    </tableColumn>
    <tableColumn id="13" xr3:uid="{BCED447C-79E8-4C26-8161-E3E092303F21}" name="TOTAL SELLING VALUE" dataDxfId="16">
      <calculatedColumnFormula>InputData[[#This Row],[SELLING PRICE]]*InputData[[#This Row],[QUANTITY]]*(1-InputData[[#This Row],[DISCOUNT %]])</calculatedColumnFormula>
    </tableColumn>
    <tableColumn id="14" xr3:uid="{A9CB70CB-6698-4CFC-A0F6-94AC831A8E2C}" name="DAY" dataDxfId="15">
      <calculatedColumnFormula>DAY(InputData[[#This Row],[DATE]])</calculatedColumnFormula>
    </tableColumn>
    <tableColumn id="15" xr3:uid="{F631502B-CD38-467E-AC7A-646542B45965}" name="MONTH" dataDxfId="14">
      <calculatedColumnFormula>TEXT(InputData[[#This Row],[DATE]],"mmm")</calculatedColumnFormula>
    </tableColumn>
    <tableColumn id="16" xr3:uid="{7905DFD6-2AA3-4621-8727-61B3631F739A}" name="YEAR" dataDxfId="13">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12" dataDxfId="10" headerRowBorderDxfId="11">
  <autoFilter ref="A1:F46" xr:uid="{DE6FA1E2-6EE8-430A-AF62-020400F3E926}"/>
  <tableColumns count="6">
    <tableColumn id="1" xr3:uid="{106E50BA-9FFB-484D-AC75-176578AFED44}" name="PRODUCT ID" dataDxfId="9"/>
    <tableColumn id="2" xr3:uid="{C6063C4C-22AC-43C3-B630-5C0916CFA263}" name="PRODUCT" dataDxfId="8"/>
    <tableColumn id="3" xr3:uid="{FEA9A0A4-A0D7-45FA-BD75-4D9EBBD09441}" name="CATEGORY" dataDxfId="7"/>
    <tableColumn id="4" xr3:uid="{3BDFD3DA-79CD-4B0E-9F98-1F406523093B}" name="UOM" dataDxfId="6"/>
    <tableColumn id="5" xr3:uid="{C286276F-25D5-4D9D-9759-32EF67A133BE}" name="BUYING PRIZE" dataDxfId="5"/>
    <tableColumn id="6" xr3:uid="{BFC92544-6510-4B40-ABEE-FD6A4B0302D7}" name="SELLING PRICE" dataDxfId="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373545"/>
      </a:dk2>
      <a:lt2>
        <a:srgbClr val="D8D8D8"/>
      </a:lt2>
      <a:accent1>
        <a:srgbClr val="9F6715"/>
      </a:accent1>
      <a:accent2>
        <a:srgbClr val="FFC000"/>
      </a:accent2>
      <a:accent3>
        <a:srgbClr val="00B050"/>
      </a:accent3>
      <a:accent4>
        <a:srgbClr val="0070C0"/>
      </a:accent4>
      <a:accent5>
        <a:srgbClr val="7030A0"/>
      </a:accent5>
      <a:accent6>
        <a:srgbClr val="00206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workbookViewId="0">
      <selection activeCell="E1" sqref="A1:P528"/>
    </sheetView>
  </sheetViews>
  <sheetFormatPr defaultRowHeight="15.05" x14ac:dyDescent="0.3"/>
  <cols>
    <col min="1" max="1" width="10.5546875" bestFit="1" customWidth="1"/>
    <col min="2" max="2" width="15" bestFit="1" customWidth="1"/>
    <col min="3" max="3" width="13.21875" bestFit="1" customWidth="1"/>
    <col min="4" max="4" width="12.88671875" bestFit="1" customWidth="1"/>
    <col min="5" max="5" width="18.44140625" bestFit="1" customWidth="1"/>
    <col min="6" max="6" width="15.109375" bestFit="1" customWidth="1"/>
    <col min="7" max="7" width="12.77734375" bestFit="1" customWidth="1"/>
    <col min="8" max="8" width="13.5546875" bestFit="1" customWidth="1"/>
    <col min="9" max="9" width="9.21875" bestFit="1" customWidth="1"/>
    <col min="10" max="10" width="16.21875" bestFit="1" customWidth="1"/>
    <col min="11" max="11" width="16.33203125" bestFit="1" customWidth="1"/>
    <col min="12" max="13" width="22.5546875" bestFit="1" customWidth="1"/>
  </cols>
  <sheetData>
    <row r="1" spans="1:16" ht="15.75" thickBot="1" x14ac:dyDescent="0.35">
      <c r="A1" s="2" t="s">
        <v>100</v>
      </c>
      <c r="B1" s="2" t="s">
        <v>0</v>
      </c>
      <c r="C1" s="2" t="s">
        <v>101</v>
      </c>
      <c r="D1" s="2" t="s">
        <v>102</v>
      </c>
      <c r="E1" s="2" t="s">
        <v>103</v>
      </c>
      <c r="F1" s="2" t="s">
        <v>104</v>
      </c>
      <c r="G1" s="2" t="s">
        <v>1</v>
      </c>
      <c r="H1" s="2" t="s">
        <v>2</v>
      </c>
      <c r="I1" s="2" t="s">
        <v>3</v>
      </c>
      <c r="J1" s="2" t="s">
        <v>4</v>
      </c>
      <c r="K1" s="2" t="s">
        <v>5</v>
      </c>
      <c r="L1" s="2" t="s">
        <v>114</v>
      </c>
      <c r="M1" s="2" t="s">
        <v>115</v>
      </c>
      <c r="N1" s="2" t="s">
        <v>116</v>
      </c>
      <c r="O1" s="2" t="s">
        <v>117</v>
      </c>
      <c r="P1" s="2" t="s">
        <v>118</v>
      </c>
    </row>
    <row r="2" spans="1:16" x14ac:dyDescent="0.3">
      <c r="A2" s="3">
        <v>44197</v>
      </c>
      <c r="B2" s="4" t="s">
        <v>56</v>
      </c>
      <c r="C2" s="5">
        <v>9</v>
      </c>
      <c r="D2" s="5" t="s">
        <v>105</v>
      </c>
      <c r="E2" s="5" t="s">
        <v>106</v>
      </c>
      <c r="F2" s="6">
        <v>0</v>
      </c>
      <c r="G2" t="str">
        <f>VLOOKUP(InputData[[#This Row],[PRODUCT ID]],MasterData[],2,)</f>
        <v>Product24</v>
      </c>
      <c r="H2" t="str">
        <f>VLOOKUP(InputData[[#This Row],[PRODUCT ID]],MasterData[],3,)</f>
        <v>Category03</v>
      </c>
      <c r="I2" t="str">
        <f>VLOOKUP(InputData[[#This Row],[PRODUCT ID]],MasterData[],4,)</f>
        <v>Ft</v>
      </c>
      <c r="J2" s="7">
        <f>VLOOKUP(InputData[[#This Row],[PRODUCT ID]],MasterData[],5,)</f>
        <v>144</v>
      </c>
      <c r="K2" s="7">
        <f>VLOOKUP(InputData[[#This Row],[PRODUCT ID]],MasterData[],6,)</f>
        <v>156.96</v>
      </c>
      <c r="L2" s="7">
        <f>InputData[[#This Row],[BUYING PRIZE]]*InputData[[#This Row],[QUANTITY]]</f>
        <v>1296</v>
      </c>
      <c r="M2" s="7">
        <f>InputData[[#This Row],[SELLING PRICE]]*InputData[[#This Row],[QUANTITY]]*(1-InputData[[#This Row],[DISCOUNT %]])</f>
        <v>1412.64</v>
      </c>
      <c r="N2">
        <f>DAY(InputData[[#This Row],[DATE]])</f>
        <v>1</v>
      </c>
      <c r="O2" t="str">
        <f>TEXT(InputData[[#This Row],[DATE]],"mmm")</f>
        <v>Jan</v>
      </c>
      <c r="P2">
        <f>YEAR(InputData[[#This Row],[DATE]])</f>
        <v>2021</v>
      </c>
    </row>
    <row r="3" spans="1:16" x14ac:dyDescent="0.3">
      <c r="A3" s="3">
        <v>44198</v>
      </c>
      <c r="B3" s="4" t="s">
        <v>86</v>
      </c>
      <c r="C3" s="5">
        <v>15</v>
      </c>
      <c r="D3" s="5" t="s">
        <v>106</v>
      </c>
      <c r="E3" s="5" t="s">
        <v>107</v>
      </c>
      <c r="F3" s="6">
        <v>0</v>
      </c>
      <c r="G3" t="str">
        <f>VLOOKUP(InputData[[#This Row],[PRODUCT ID]],MasterData[],2,)</f>
        <v>Product38</v>
      </c>
      <c r="H3" t="str">
        <f>VLOOKUP(InputData[[#This Row],[PRODUCT ID]],MasterData[],3,)</f>
        <v>Category05</v>
      </c>
      <c r="I3" t="str">
        <f>VLOOKUP(InputData[[#This Row],[PRODUCT ID]],MasterData[],4,)</f>
        <v>Kg</v>
      </c>
      <c r="J3" s="7">
        <f>VLOOKUP(InputData[[#This Row],[PRODUCT ID]],MasterData[],5,)</f>
        <v>72</v>
      </c>
      <c r="K3" s="7">
        <f>VLOOKUP(InputData[[#This Row],[PRODUCT ID]],MasterData[],6,)</f>
        <v>79.92</v>
      </c>
      <c r="L3" s="7">
        <f>InputData[[#This Row],[BUYING PRIZE]]*InputData[[#This Row],[QUANTITY]]</f>
        <v>1080</v>
      </c>
      <c r="M3" s="7">
        <f>InputData[[#This Row],[SELLING PRICE]]*InputData[[#This Row],[QUANTITY]]*(1-InputData[[#This Row],[DISCOUNT %]])</f>
        <v>1198.8</v>
      </c>
      <c r="N3">
        <f>DAY(InputData[[#This Row],[DATE]])</f>
        <v>2</v>
      </c>
      <c r="O3" t="str">
        <f>TEXT(InputData[[#This Row],[DATE]],"mmm")</f>
        <v>Jan</v>
      </c>
      <c r="P3">
        <f>YEAR(InputData[[#This Row],[DATE]])</f>
        <v>2021</v>
      </c>
    </row>
    <row r="4" spans="1:16" x14ac:dyDescent="0.3">
      <c r="A4" s="3">
        <v>44198</v>
      </c>
      <c r="B4" s="4" t="s">
        <v>33</v>
      </c>
      <c r="C4" s="5">
        <v>6</v>
      </c>
      <c r="D4" s="5" t="s">
        <v>108</v>
      </c>
      <c r="E4" s="5" t="s">
        <v>107</v>
      </c>
      <c r="F4" s="6">
        <v>0</v>
      </c>
      <c r="G4" t="str">
        <f>VLOOKUP(InputData[[#This Row],[PRODUCT ID]],MasterData[],2,)</f>
        <v>Product13</v>
      </c>
      <c r="H4" t="str">
        <f>VLOOKUP(InputData[[#This Row],[PRODUCT ID]],MasterData[],3,)</f>
        <v>Category02</v>
      </c>
      <c r="I4" t="str">
        <f>VLOOKUP(InputData[[#This Row],[PRODUCT ID]],MasterData[],4,)</f>
        <v>Kg</v>
      </c>
      <c r="J4" s="7">
        <f>VLOOKUP(InputData[[#This Row],[PRODUCT ID]],MasterData[],5,)</f>
        <v>112</v>
      </c>
      <c r="K4" s="7">
        <f>VLOOKUP(InputData[[#This Row],[PRODUCT ID]],MasterData[],6,)</f>
        <v>122.08</v>
      </c>
      <c r="L4" s="7">
        <f>InputData[[#This Row],[BUYING PRIZE]]*InputData[[#This Row],[QUANTITY]]</f>
        <v>672</v>
      </c>
      <c r="M4" s="7">
        <f>InputData[[#This Row],[SELLING PRICE]]*InputData[[#This Row],[QUANTITY]]*(1-InputData[[#This Row],[DISCOUNT %]])</f>
        <v>732.48</v>
      </c>
      <c r="N4">
        <f>DAY(InputData[[#This Row],[DATE]])</f>
        <v>2</v>
      </c>
      <c r="O4" t="str">
        <f>TEXT(InputData[[#This Row],[DATE]],"mmm")</f>
        <v>Jan</v>
      </c>
      <c r="P4">
        <f>YEAR(InputData[[#This Row],[DATE]])</f>
        <v>2021</v>
      </c>
    </row>
    <row r="5" spans="1:16" x14ac:dyDescent="0.3">
      <c r="A5" s="3">
        <v>44199</v>
      </c>
      <c r="B5" s="4" t="s">
        <v>14</v>
      </c>
      <c r="C5" s="5">
        <v>5</v>
      </c>
      <c r="D5" s="5" t="s">
        <v>108</v>
      </c>
      <c r="E5" s="5" t="s">
        <v>106</v>
      </c>
      <c r="F5" s="6">
        <v>0</v>
      </c>
      <c r="G5" t="str">
        <f>VLOOKUP(InputData[[#This Row],[PRODUCT ID]],MasterData[],2,)</f>
        <v>Product04</v>
      </c>
      <c r="H5" t="str">
        <f>VLOOKUP(InputData[[#This Row],[PRODUCT ID]],MasterData[],3,)</f>
        <v>Category01</v>
      </c>
      <c r="I5" t="str">
        <f>VLOOKUP(InputData[[#This Row],[PRODUCT ID]],MasterData[],4,)</f>
        <v>Lt</v>
      </c>
      <c r="J5" s="7">
        <f>VLOOKUP(InputData[[#This Row],[PRODUCT ID]],MasterData[],5,)</f>
        <v>44</v>
      </c>
      <c r="K5" s="7">
        <f>VLOOKUP(InputData[[#This Row],[PRODUCT ID]],MasterData[],6,)</f>
        <v>48.84</v>
      </c>
      <c r="L5" s="7">
        <f>InputData[[#This Row],[BUYING PRIZE]]*InputData[[#This Row],[QUANTITY]]</f>
        <v>220</v>
      </c>
      <c r="M5" s="7">
        <f>InputData[[#This Row],[SELLING PRICE]]*InputData[[#This Row],[QUANTITY]]*(1-InputData[[#This Row],[DISCOUNT %]])</f>
        <v>244.20000000000002</v>
      </c>
      <c r="N5">
        <f>DAY(InputData[[#This Row],[DATE]])</f>
        <v>3</v>
      </c>
      <c r="O5" t="str">
        <f>TEXT(InputData[[#This Row],[DATE]],"mmm")</f>
        <v>Jan</v>
      </c>
      <c r="P5">
        <f>YEAR(InputData[[#This Row],[DATE]])</f>
        <v>2021</v>
      </c>
    </row>
    <row r="6" spans="1:16" x14ac:dyDescent="0.3">
      <c r="A6" s="3">
        <v>44200</v>
      </c>
      <c r="B6" s="4" t="s">
        <v>79</v>
      </c>
      <c r="C6" s="5">
        <v>12</v>
      </c>
      <c r="D6" s="5" t="s">
        <v>106</v>
      </c>
      <c r="E6" s="5" t="s">
        <v>106</v>
      </c>
      <c r="F6" s="6">
        <v>0</v>
      </c>
      <c r="G6" t="str">
        <f>VLOOKUP(InputData[[#This Row],[PRODUCT ID]],MasterData[],2,)</f>
        <v>Product35</v>
      </c>
      <c r="H6" t="str">
        <f>VLOOKUP(InputData[[#This Row],[PRODUCT ID]],MasterData[],3,)</f>
        <v>Category04</v>
      </c>
      <c r="I6" t="str">
        <f>VLOOKUP(InputData[[#This Row],[PRODUCT ID]],MasterData[],4,)</f>
        <v>No.</v>
      </c>
      <c r="J6" s="7">
        <f>VLOOKUP(InputData[[#This Row],[PRODUCT ID]],MasterData[],5,)</f>
        <v>5</v>
      </c>
      <c r="K6" s="7">
        <f>VLOOKUP(InputData[[#This Row],[PRODUCT ID]],MasterData[],6,)</f>
        <v>6.7</v>
      </c>
      <c r="L6" s="7">
        <f>InputData[[#This Row],[BUYING PRIZE]]*InputData[[#This Row],[QUANTITY]]</f>
        <v>60</v>
      </c>
      <c r="M6" s="7">
        <f>InputData[[#This Row],[SELLING PRICE]]*InputData[[#This Row],[QUANTITY]]*(1-InputData[[#This Row],[DISCOUNT %]])</f>
        <v>80.400000000000006</v>
      </c>
      <c r="N6">
        <f>DAY(InputData[[#This Row],[DATE]])</f>
        <v>4</v>
      </c>
      <c r="O6" t="str">
        <f>TEXT(InputData[[#This Row],[DATE]],"mmm")</f>
        <v>Jan</v>
      </c>
      <c r="P6">
        <f>YEAR(InputData[[#This Row],[DATE]])</f>
        <v>2021</v>
      </c>
    </row>
    <row r="7" spans="1:16" x14ac:dyDescent="0.3">
      <c r="A7" s="3">
        <v>44205</v>
      </c>
      <c r="B7" s="4" t="s">
        <v>71</v>
      </c>
      <c r="C7" s="5">
        <v>1</v>
      </c>
      <c r="D7" s="5" t="s">
        <v>108</v>
      </c>
      <c r="E7" s="5" t="s">
        <v>107</v>
      </c>
      <c r="F7" s="6">
        <v>0</v>
      </c>
      <c r="G7" t="str">
        <f>VLOOKUP(InputData[[#This Row],[PRODUCT ID]],MasterData[],2,)</f>
        <v>Product31</v>
      </c>
      <c r="H7" t="str">
        <f>VLOOKUP(InputData[[#This Row],[PRODUCT ID]],MasterData[],3,)</f>
        <v>Category04</v>
      </c>
      <c r="I7" t="str">
        <f>VLOOKUP(InputData[[#This Row],[PRODUCT ID]],MasterData[],4,)</f>
        <v>Kg</v>
      </c>
      <c r="J7" s="7">
        <f>VLOOKUP(InputData[[#This Row],[PRODUCT ID]],MasterData[],5,)</f>
        <v>93</v>
      </c>
      <c r="K7" s="7">
        <f>VLOOKUP(InputData[[#This Row],[PRODUCT ID]],MasterData[],6,)</f>
        <v>104.16</v>
      </c>
      <c r="L7" s="7">
        <f>InputData[[#This Row],[BUYING PRIZE]]*InputData[[#This Row],[QUANTITY]]</f>
        <v>93</v>
      </c>
      <c r="M7" s="7">
        <f>InputData[[#This Row],[SELLING PRICE]]*InputData[[#This Row],[QUANTITY]]*(1-InputData[[#This Row],[DISCOUNT %]])</f>
        <v>104.16</v>
      </c>
      <c r="N7">
        <f>DAY(InputData[[#This Row],[DATE]])</f>
        <v>9</v>
      </c>
      <c r="O7" t="str">
        <f>TEXT(InputData[[#This Row],[DATE]],"mmm")</f>
        <v>Jan</v>
      </c>
      <c r="P7">
        <f>YEAR(InputData[[#This Row],[DATE]])</f>
        <v>2021</v>
      </c>
    </row>
    <row r="8" spans="1:16" x14ac:dyDescent="0.3">
      <c r="A8" s="3">
        <v>44205</v>
      </c>
      <c r="B8" s="4" t="s">
        <v>12</v>
      </c>
      <c r="C8" s="5">
        <v>8</v>
      </c>
      <c r="D8" s="5" t="s">
        <v>108</v>
      </c>
      <c r="E8" s="5" t="s">
        <v>107</v>
      </c>
      <c r="F8" s="6">
        <v>0</v>
      </c>
      <c r="G8" t="str">
        <f>VLOOKUP(InputData[[#This Row],[PRODUCT ID]],MasterData[],2,)</f>
        <v>Product03</v>
      </c>
      <c r="H8" t="str">
        <f>VLOOKUP(InputData[[#This Row],[PRODUCT ID]],MasterData[],3,)</f>
        <v>Category01</v>
      </c>
      <c r="I8" t="str">
        <f>VLOOKUP(InputData[[#This Row],[PRODUCT ID]],MasterData[],4,)</f>
        <v>Kg</v>
      </c>
      <c r="J8" s="7">
        <f>VLOOKUP(InputData[[#This Row],[PRODUCT ID]],MasterData[],5,)</f>
        <v>71</v>
      </c>
      <c r="K8" s="7">
        <f>VLOOKUP(InputData[[#This Row],[PRODUCT ID]],MasterData[],6,)</f>
        <v>80.94</v>
      </c>
      <c r="L8" s="7">
        <f>InputData[[#This Row],[BUYING PRIZE]]*InputData[[#This Row],[QUANTITY]]</f>
        <v>568</v>
      </c>
      <c r="M8" s="7">
        <f>InputData[[#This Row],[SELLING PRICE]]*InputData[[#This Row],[QUANTITY]]*(1-InputData[[#This Row],[DISCOUNT %]])</f>
        <v>647.52</v>
      </c>
      <c r="N8">
        <f>DAY(InputData[[#This Row],[DATE]])</f>
        <v>9</v>
      </c>
      <c r="O8" t="str">
        <f>TEXT(InputData[[#This Row],[DATE]],"mmm")</f>
        <v>Jan</v>
      </c>
      <c r="P8">
        <f>YEAR(InputData[[#This Row],[DATE]])</f>
        <v>2021</v>
      </c>
    </row>
    <row r="9" spans="1:16" x14ac:dyDescent="0.3">
      <c r="A9" s="3">
        <v>44205</v>
      </c>
      <c r="B9" s="4" t="s">
        <v>58</v>
      </c>
      <c r="C9" s="5">
        <v>4</v>
      </c>
      <c r="D9" s="5" t="s">
        <v>108</v>
      </c>
      <c r="E9" s="5" t="s">
        <v>106</v>
      </c>
      <c r="F9" s="6">
        <v>0</v>
      </c>
      <c r="G9" t="str">
        <f>VLOOKUP(InputData[[#This Row],[PRODUCT ID]],MasterData[],2,)</f>
        <v>Product25</v>
      </c>
      <c r="H9" t="str">
        <f>VLOOKUP(InputData[[#This Row],[PRODUCT ID]],MasterData[],3,)</f>
        <v>Category03</v>
      </c>
      <c r="I9" t="str">
        <f>VLOOKUP(InputData[[#This Row],[PRODUCT ID]],MasterData[],4,)</f>
        <v>No.</v>
      </c>
      <c r="J9" s="7">
        <f>VLOOKUP(InputData[[#This Row],[PRODUCT ID]],MasterData[],5,)</f>
        <v>7</v>
      </c>
      <c r="K9" s="7">
        <f>VLOOKUP(InputData[[#This Row],[PRODUCT ID]],MasterData[],6,)</f>
        <v>8.33</v>
      </c>
      <c r="L9" s="7">
        <f>InputData[[#This Row],[BUYING PRIZE]]*InputData[[#This Row],[QUANTITY]]</f>
        <v>28</v>
      </c>
      <c r="M9" s="7">
        <f>InputData[[#This Row],[SELLING PRICE]]*InputData[[#This Row],[QUANTITY]]*(1-InputData[[#This Row],[DISCOUNT %]])</f>
        <v>33.32</v>
      </c>
      <c r="N9">
        <f>DAY(InputData[[#This Row],[DATE]])</f>
        <v>9</v>
      </c>
      <c r="O9" t="str">
        <f>TEXT(InputData[[#This Row],[DATE]],"mmm")</f>
        <v>Jan</v>
      </c>
      <c r="P9">
        <f>YEAR(InputData[[#This Row],[DATE]])</f>
        <v>2021</v>
      </c>
    </row>
    <row r="10" spans="1:16" x14ac:dyDescent="0.3">
      <c r="A10" s="3">
        <v>44207</v>
      </c>
      <c r="B10" s="4" t="s">
        <v>83</v>
      </c>
      <c r="C10" s="5">
        <v>3</v>
      </c>
      <c r="D10" s="5" t="s">
        <v>108</v>
      </c>
      <c r="E10" s="5" t="s">
        <v>107</v>
      </c>
      <c r="F10" s="6">
        <v>0</v>
      </c>
      <c r="G10" t="str">
        <f>VLOOKUP(InputData[[#This Row],[PRODUCT ID]],MasterData[],2,)</f>
        <v>Product37</v>
      </c>
      <c r="H10" t="str">
        <f>VLOOKUP(InputData[[#This Row],[PRODUCT ID]],MasterData[],3,)</f>
        <v>Category05</v>
      </c>
      <c r="I10" t="str">
        <f>VLOOKUP(InputData[[#This Row],[PRODUCT ID]],MasterData[],4,)</f>
        <v>Kg</v>
      </c>
      <c r="J10" s="7">
        <f>VLOOKUP(InputData[[#This Row],[PRODUCT ID]],MasterData[],5,)</f>
        <v>67</v>
      </c>
      <c r="K10" s="7">
        <f>VLOOKUP(InputData[[#This Row],[PRODUCT ID]],MasterData[],6,)</f>
        <v>85.76</v>
      </c>
      <c r="L10" s="7">
        <f>InputData[[#This Row],[BUYING PRIZE]]*InputData[[#This Row],[QUANTITY]]</f>
        <v>201</v>
      </c>
      <c r="M10" s="7">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3">
      <c r="A11" s="3">
        <v>44207</v>
      </c>
      <c r="B11" s="4" t="s">
        <v>35</v>
      </c>
      <c r="C11" s="5">
        <v>4</v>
      </c>
      <c r="D11" s="5" t="s">
        <v>105</v>
      </c>
      <c r="E11" s="5" t="s">
        <v>106</v>
      </c>
      <c r="F11" s="6">
        <v>0</v>
      </c>
      <c r="G11" t="str">
        <f>VLOOKUP(InputData[[#This Row],[PRODUCT ID]],MasterData[],2,)</f>
        <v>Product14</v>
      </c>
      <c r="H11" t="str">
        <f>VLOOKUP(InputData[[#This Row],[PRODUCT ID]],MasterData[],3,)</f>
        <v>Category02</v>
      </c>
      <c r="I11" t="str">
        <f>VLOOKUP(InputData[[#This Row],[PRODUCT ID]],MasterData[],4,)</f>
        <v>Kg</v>
      </c>
      <c r="J11" s="7">
        <f>VLOOKUP(InputData[[#This Row],[PRODUCT ID]],MasterData[],5,)</f>
        <v>112</v>
      </c>
      <c r="K11" s="7">
        <f>VLOOKUP(InputData[[#This Row],[PRODUCT ID]],MasterData[],6,)</f>
        <v>146.72</v>
      </c>
      <c r="L11" s="7">
        <f>InputData[[#This Row],[BUYING PRIZE]]*InputData[[#This Row],[QUANTITY]]</f>
        <v>448</v>
      </c>
      <c r="M11" s="7">
        <f>InputData[[#This Row],[SELLING PRICE]]*InputData[[#This Row],[QUANTITY]]*(1-InputData[[#This Row],[DISCOUNT %]])</f>
        <v>586.88</v>
      </c>
      <c r="N11">
        <f>DAY(InputData[[#This Row],[DATE]])</f>
        <v>11</v>
      </c>
      <c r="O11" t="str">
        <f>TEXT(InputData[[#This Row],[DATE]],"mmm")</f>
        <v>Jan</v>
      </c>
      <c r="P11">
        <f>YEAR(InputData[[#This Row],[DATE]])</f>
        <v>2021</v>
      </c>
    </row>
    <row r="12" spans="1:16" x14ac:dyDescent="0.3">
      <c r="A12" s="3">
        <v>44207</v>
      </c>
      <c r="B12" s="4" t="s">
        <v>94</v>
      </c>
      <c r="C12" s="5">
        <v>4</v>
      </c>
      <c r="D12" s="5" t="s">
        <v>108</v>
      </c>
      <c r="E12" s="5" t="s">
        <v>106</v>
      </c>
      <c r="F12" s="6">
        <v>0</v>
      </c>
      <c r="G12" t="str">
        <f>VLOOKUP(InputData[[#This Row],[PRODUCT ID]],MasterData[],2,)</f>
        <v>Product42</v>
      </c>
      <c r="H12" t="str">
        <f>VLOOKUP(InputData[[#This Row],[PRODUCT ID]],MasterData[],3,)</f>
        <v>Category05</v>
      </c>
      <c r="I12" t="str">
        <f>VLOOKUP(InputData[[#This Row],[PRODUCT ID]],MasterData[],4,)</f>
        <v>Ft</v>
      </c>
      <c r="J12" s="7">
        <f>VLOOKUP(InputData[[#This Row],[PRODUCT ID]],MasterData[],5,)</f>
        <v>120</v>
      </c>
      <c r="K12" s="7">
        <f>VLOOKUP(InputData[[#This Row],[PRODUCT ID]],MasterData[],6,)</f>
        <v>162</v>
      </c>
      <c r="L12" s="7">
        <f>InputData[[#This Row],[BUYING PRIZE]]*InputData[[#This Row],[QUANTITY]]</f>
        <v>480</v>
      </c>
      <c r="M12" s="7">
        <f>InputData[[#This Row],[SELLING PRICE]]*InputData[[#This Row],[QUANTITY]]*(1-InputData[[#This Row],[DISCOUNT %]])</f>
        <v>648</v>
      </c>
      <c r="N12">
        <f>DAY(InputData[[#This Row],[DATE]])</f>
        <v>11</v>
      </c>
      <c r="O12" t="str">
        <f>TEXT(InputData[[#This Row],[DATE]],"mmm")</f>
        <v>Jan</v>
      </c>
      <c r="P12">
        <f>YEAR(InputData[[#This Row],[DATE]])</f>
        <v>2021</v>
      </c>
    </row>
    <row r="13" spans="1:16" x14ac:dyDescent="0.3">
      <c r="A13" s="3">
        <v>44208</v>
      </c>
      <c r="B13" s="4" t="s">
        <v>94</v>
      </c>
      <c r="C13" s="5">
        <v>10</v>
      </c>
      <c r="D13" s="5" t="s">
        <v>106</v>
      </c>
      <c r="E13" s="5" t="s">
        <v>107</v>
      </c>
      <c r="F13" s="6">
        <v>0</v>
      </c>
      <c r="G13" t="str">
        <f>VLOOKUP(InputData[[#This Row],[PRODUCT ID]],MasterData[],2,)</f>
        <v>Product42</v>
      </c>
      <c r="H13" t="str">
        <f>VLOOKUP(InputData[[#This Row],[PRODUCT ID]],MasterData[],3,)</f>
        <v>Category05</v>
      </c>
      <c r="I13" t="str">
        <f>VLOOKUP(InputData[[#This Row],[PRODUCT ID]],MasterData[],4,)</f>
        <v>Ft</v>
      </c>
      <c r="J13" s="7">
        <f>VLOOKUP(InputData[[#This Row],[PRODUCT ID]],MasterData[],5,)</f>
        <v>120</v>
      </c>
      <c r="K13" s="7">
        <f>VLOOKUP(InputData[[#This Row],[PRODUCT ID]],MasterData[],6,)</f>
        <v>162</v>
      </c>
      <c r="L13" s="7">
        <f>InputData[[#This Row],[BUYING PRIZE]]*InputData[[#This Row],[QUANTITY]]</f>
        <v>1200</v>
      </c>
      <c r="M13" s="7">
        <f>InputData[[#This Row],[SELLING PRICE]]*InputData[[#This Row],[QUANTITY]]*(1-InputData[[#This Row],[DISCOUNT %]])</f>
        <v>1620</v>
      </c>
      <c r="N13">
        <f>DAY(InputData[[#This Row],[DATE]])</f>
        <v>12</v>
      </c>
      <c r="O13" t="str">
        <f>TEXT(InputData[[#This Row],[DATE]],"mmm")</f>
        <v>Jan</v>
      </c>
      <c r="P13">
        <f>YEAR(InputData[[#This Row],[DATE]])</f>
        <v>2021</v>
      </c>
    </row>
    <row r="14" spans="1:16" x14ac:dyDescent="0.3">
      <c r="A14" s="3">
        <v>44214</v>
      </c>
      <c r="B14" s="4" t="s">
        <v>98</v>
      </c>
      <c r="C14" s="5">
        <v>13</v>
      </c>
      <c r="D14" s="5" t="s">
        <v>108</v>
      </c>
      <c r="E14" s="5" t="s">
        <v>106</v>
      </c>
      <c r="F14" s="6">
        <v>0</v>
      </c>
      <c r="G14" t="str">
        <f>VLOOKUP(InputData[[#This Row],[PRODUCT ID]],MasterData[],2,)</f>
        <v>Product44</v>
      </c>
      <c r="H14" t="str">
        <f>VLOOKUP(InputData[[#This Row],[PRODUCT ID]],MasterData[],3,)</f>
        <v>Category05</v>
      </c>
      <c r="I14" t="str">
        <f>VLOOKUP(InputData[[#This Row],[PRODUCT ID]],MasterData[],4,)</f>
        <v>Kg</v>
      </c>
      <c r="J14" s="7">
        <f>VLOOKUP(InputData[[#This Row],[PRODUCT ID]],MasterData[],5,)</f>
        <v>76</v>
      </c>
      <c r="K14" s="7">
        <f>VLOOKUP(InputData[[#This Row],[PRODUCT ID]],MasterData[],6,)</f>
        <v>82.08</v>
      </c>
      <c r="L14" s="7">
        <f>InputData[[#This Row],[BUYING PRIZE]]*InputData[[#This Row],[QUANTITY]]</f>
        <v>988</v>
      </c>
      <c r="M14" s="7">
        <f>InputData[[#This Row],[SELLING PRICE]]*InputData[[#This Row],[QUANTITY]]*(1-InputData[[#This Row],[DISCOUNT %]])</f>
        <v>1067.04</v>
      </c>
      <c r="N14">
        <f>DAY(InputData[[#This Row],[DATE]])</f>
        <v>18</v>
      </c>
      <c r="O14" t="str">
        <f>TEXT(InputData[[#This Row],[DATE]],"mmm")</f>
        <v>Jan</v>
      </c>
      <c r="P14">
        <f>YEAR(InputData[[#This Row],[DATE]])</f>
        <v>2021</v>
      </c>
    </row>
    <row r="15" spans="1:16" x14ac:dyDescent="0.3">
      <c r="A15" s="3">
        <v>44214</v>
      </c>
      <c r="B15" s="4" t="s">
        <v>54</v>
      </c>
      <c r="C15" s="5">
        <v>3</v>
      </c>
      <c r="D15" s="5" t="s">
        <v>106</v>
      </c>
      <c r="E15" s="5" t="s">
        <v>107</v>
      </c>
      <c r="F15" s="6">
        <v>0</v>
      </c>
      <c r="G15" t="str">
        <f>VLOOKUP(InputData[[#This Row],[PRODUCT ID]],MasterData[],2,)</f>
        <v>Product23</v>
      </c>
      <c r="H15" t="str">
        <f>VLOOKUP(InputData[[#This Row],[PRODUCT ID]],MasterData[],3,)</f>
        <v>Category03</v>
      </c>
      <c r="I15" t="str">
        <f>VLOOKUP(InputData[[#This Row],[PRODUCT ID]],MasterData[],4,)</f>
        <v>Ft</v>
      </c>
      <c r="J15" s="7">
        <f>VLOOKUP(InputData[[#This Row],[PRODUCT ID]],MasterData[],5,)</f>
        <v>141</v>
      </c>
      <c r="K15" s="7">
        <f>VLOOKUP(InputData[[#This Row],[PRODUCT ID]],MasterData[],6,)</f>
        <v>149.46</v>
      </c>
      <c r="L15" s="7">
        <f>InputData[[#This Row],[BUYING PRIZE]]*InputData[[#This Row],[QUANTITY]]</f>
        <v>423</v>
      </c>
      <c r="M15" s="7">
        <f>InputData[[#This Row],[SELLING PRICE]]*InputData[[#This Row],[QUANTITY]]*(1-InputData[[#This Row],[DISCOUNT %]])</f>
        <v>448.38</v>
      </c>
      <c r="N15">
        <f>DAY(InputData[[#This Row],[DATE]])</f>
        <v>18</v>
      </c>
      <c r="O15" t="str">
        <f>TEXT(InputData[[#This Row],[DATE]],"mmm")</f>
        <v>Jan</v>
      </c>
      <c r="P15">
        <f>YEAR(InputData[[#This Row],[DATE]])</f>
        <v>2021</v>
      </c>
    </row>
    <row r="16" spans="1:16" x14ac:dyDescent="0.3">
      <c r="A16" s="3">
        <v>44215</v>
      </c>
      <c r="B16" s="4" t="s">
        <v>79</v>
      </c>
      <c r="C16" s="5">
        <v>6</v>
      </c>
      <c r="D16" s="5" t="s">
        <v>108</v>
      </c>
      <c r="E16" s="5" t="s">
        <v>107</v>
      </c>
      <c r="F16" s="6">
        <v>0</v>
      </c>
      <c r="G16" t="str">
        <f>VLOOKUP(InputData[[#This Row],[PRODUCT ID]],MasterData[],2,)</f>
        <v>Product35</v>
      </c>
      <c r="H16" t="str">
        <f>VLOOKUP(InputData[[#This Row],[PRODUCT ID]],MasterData[],3,)</f>
        <v>Category04</v>
      </c>
      <c r="I16" t="str">
        <f>VLOOKUP(InputData[[#This Row],[PRODUCT ID]],MasterData[],4,)</f>
        <v>No.</v>
      </c>
      <c r="J16" s="7">
        <f>VLOOKUP(InputData[[#This Row],[PRODUCT ID]],MasterData[],5,)</f>
        <v>5</v>
      </c>
      <c r="K16" s="7">
        <f>VLOOKUP(InputData[[#This Row],[PRODUCT ID]],MasterData[],6,)</f>
        <v>6.7</v>
      </c>
      <c r="L16" s="7">
        <f>InputData[[#This Row],[BUYING PRIZE]]*InputData[[#This Row],[QUANTITY]]</f>
        <v>30</v>
      </c>
      <c r="M16" s="7">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3">
      <c r="A17" s="3">
        <v>44216</v>
      </c>
      <c r="B17" s="4" t="s">
        <v>77</v>
      </c>
      <c r="C17" s="5">
        <v>4</v>
      </c>
      <c r="D17" s="5" t="s">
        <v>108</v>
      </c>
      <c r="E17" s="5" t="s">
        <v>107</v>
      </c>
      <c r="F17" s="6">
        <v>0</v>
      </c>
      <c r="G17" t="str">
        <f>VLOOKUP(InputData[[#This Row],[PRODUCT ID]],MasterData[],2,)</f>
        <v>Product34</v>
      </c>
      <c r="H17" t="str">
        <f>VLOOKUP(InputData[[#This Row],[PRODUCT ID]],MasterData[],3,)</f>
        <v>Category04</v>
      </c>
      <c r="I17" t="str">
        <f>VLOOKUP(InputData[[#This Row],[PRODUCT ID]],MasterData[],4,)</f>
        <v>Lt</v>
      </c>
      <c r="J17" s="7">
        <f>VLOOKUP(InputData[[#This Row],[PRODUCT ID]],MasterData[],5,)</f>
        <v>55</v>
      </c>
      <c r="K17" s="7">
        <f>VLOOKUP(InputData[[#This Row],[PRODUCT ID]],MasterData[],6,)</f>
        <v>58.3</v>
      </c>
      <c r="L17" s="7">
        <f>InputData[[#This Row],[BUYING PRIZE]]*InputData[[#This Row],[QUANTITY]]</f>
        <v>220</v>
      </c>
      <c r="M17" s="7">
        <f>InputData[[#This Row],[SELLING PRICE]]*InputData[[#This Row],[QUANTITY]]*(1-InputData[[#This Row],[DISCOUNT %]])</f>
        <v>233.2</v>
      </c>
      <c r="N17">
        <f>DAY(InputData[[#This Row],[DATE]])</f>
        <v>20</v>
      </c>
      <c r="O17" t="str">
        <f>TEXT(InputData[[#This Row],[DATE]],"mmm")</f>
        <v>Jan</v>
      </c>
      <c r="P17">
        <f>YEAR(InputData[[#This Row],[DATE]])</f>
        <v>2021</v>
      </c>
    </row>
    <row r="18" spans="1:16" x14ac:dyDescent="0.3">
      <c r="A18" s="3">
        <v>44216</v>
      </c>
      <c r="B18" s="4" t="s">
        <v>47</v>
      </c>
      <c r="C18" s="5">
        <v>4</v>
      </c>
      <c r="D18" s="5" t="s">
        <v>108</v>
      </c>
      <c r="E18" s="5" t="s">
        <v>107</v>
      </c>
      <c r="F18" s="6">
        <v>0</v>
      </c>
      <c r="G18" t="str">
        <f>VLOOKUP(InputData[[#This Row],[PRODUCT ID]],MasterData[],2,)</f>
        <v>Product20</v>
      </c>
      <c r="H18" t="str">
        <f>VLOOKUP(InputData[[#This Row],[PRODUCT ID]],MasterData[],3,)</f>
        <v>Category03</v>
      </c>
      <c r="I18" t="str">
        <f>VLOOKUP(InputData[[#This Row],[PRODUCT ID]],MasterData[],4,)</f>
        <v>Lt</v>
      </c>
      <c r="J18" s="7">
        <f>VLOOKUP(InputData[[#This Row],[PRODUCT ID]],MasterData[],5,)</f>
        <v>61</v>
      </c>
      <c r="K18" s="7">
        <f>VLOOKUP(InputData[[#This Row],[PRODUCT ID]],MasterData[],6,)</f>
        <v>76.25</v>
      </c>
      <c r="L18" s="7">
        <f>InputData[[#This Row],[BUYING PRIZE]]*InputData[[#This Row],[QUANTITY]]</f>
        <v>244</v>
      </c>
      <c r="M18" s="7">
        <f>InputData[[#This Row],[SELLING PRICE]]*InputData[[#This Row],[QUANTITY]]*(1-InputData[[#This Row],[DISCOUNT %]])</f>
        <v>305</v>
      </c>
      <c r="N18">
        <f>DAY(InputData[[#This Row],[DATE]])</f>
        <v>20</v>
      </c>
      <c r="O18" t="str">
        <f>TEXT(InputData[[#This Row],[DATE]],"mmm")</f>
        <v>Jan</v>
      </c>
      <c r="P18">
        <f>YEAR(InputData[[#This Row],[DATE]])</f>
        <v>2021</v>
      </c>
    </row>
    <row r="19" spans="1:16" x14ac:dyDescent="0.3">
      <c r="A19" s="3">
        <v>44217</v>
      </c>
      <c r="B19" s="4" t="s">
        <v>14</v>
      </c>
      <c r="C19" s="5">
        <v>15</v>
      </c>
      <c r="D19" s="5" t="s">
        <v>105</v>
      </c>
      <c r="E19" s="5" t="s">
        <v>107</v>
      </c>
      <c r="F19" s="6">
        <v>0</v>
      </c>
      <c r="G19" t="str">
        <f>VLOOKUP(InputData[[#This Row],[PRODUCT ID]],MasterData[],2,)</f>
        <v>Product04</v>
      </c>
      <c r="H19" t="str">
        <f>VLOOKUP(InputData[[#This Row],[PRODUCT ID]],MasterData[],3,)</f>
        <v>Category01</v>
      </c>
      <c r="I19" t="str">
        <f>VLOOKUP(InputData[[#This Row],[PRODUCT ID]],MasterData[],4,)</f>
        <v>Lt</v>
      </c>
      <c r="J19" s="7">
        <f>VLOOKUP(InputData[[#This Row],[PRODUCT ID]],MasterData[],5,)</f>
        <v>44</v>
      </c>
      <c r="K19" s="7">
        <f>VLOOKUP(InputData[[#This Row],[PRODUCT ID]],MasterData[],6,)</f>
        <v>48.84</v>
      </c>
      <c r="L19" s="7">
        <f>InputData[[#This Row],[BUYING PRIZE]]*InputData[[#This Row],[QUANTITY]]</f>
        <v>660</v>
      </c>
      <c r="M19" s="7">
        <f>InputData[[#This Row],[SELLING PRICE]]*InputData[[#This Row],[QUANTITY]]*(1-InputData[[#This Row],[DISCOUNT %]])</f>
        <v>732.6</v>
      </c>
      <c r="N19">
        <f>DAY(InputData[[#This Row],[DATE]])</f>
        <v>21</v>
      </c>
      <c r="O19" t="str">
        <f>TEXT(InputData[[#This Row],[DATE]],"mmm")</f>
        <v>Jan</v>
      </c>
      <c r="P19">
        <f>YEAR(InputData[[#This Row],[DATE]])</f>
        <v>2021</v>
      </c>
    </row>
    <row r="20" spans="1:16" x14ac:dyDescent="0.3">
      <c r="A20" s="3">
        <v>44217</v>
      </c>
      <c r="B20" s="4" t="s">
        <v>12</v>
      </c>
      <c r="C20" s="5">
        <v>9</v>
      </c>
      <c r="D20" s="5" t="s">
        <v>108</v>
      </c>
      <c r="E20" s="5" t="s">
        <v>106</v>
      </c>
      <c r="F20" s="6">
        <v>0</v>
      </c>
      <c r="G20" t="str">
        <f>VLOOKUP(InputData[[#This Row],[PRODUCT ID]],MasterData[],2,)</f>
        <v>Product03</v>
      </c>
      <c r="H20" t="str">
        <f>VLOOKUP(InputData[[#This Row],[PRODUCT ID]],MasterData[],3,)</f>
        <v>Category01</v>
      </c>
      <c r="I20" t="str">
        <f>VLOOKUP(InputData[[#This Row],[PRODUCT ID]],MasterData[],4,)</f>
        <v>Kg</v>
      </c>
      <c r="J20" s="7">
        <f>VLOOKUP(InputData[[#This Row],[PRODUCT ID]],MasterData[],5,)</f>
        <v>71</v>
      </c>
      <c r="K20" s="7">
        <f>VLOOKUP(InputData[[#This Row],[PRODUCT ID]],MasterData[],6,)</f>
        <v>80.94</v>
      </c>
      <c r="L20" s="7">
        <f>InputData[[#This Row],[BUYING PRIZE]]*InputData[[#This Row],[QUANTITY]]</f>
        <v>639</v>
      </c>
      <c r="M20" s="7">
        <f>InputData[[#This Row],[SELLING PRICE]]*InputData[[#This Row],[QUANTITY]]*(1-InputData[[#This Row],[DISCOUNT %]])</f>
        <v>728.46</v>
      </c>
      <c r="N20">
        <f>DAY(InputData[[#This Row],[DATE]])</f>
        <v>21</v>
      </c>
      <c r="O20" t="str">
        <f>TEXT(InputData[[#This Row],[DATE]],"mmm")</f>
        <v>Jan</v>
      </c>
      <c r="P20">
        <f>YEAR(InputData[[#This Row],[DATE]])</f>
        <v>2021</v>
      </c>
    </row>
    <row r="21" spans="1:16" x14ac:dyDescent="0.3">
      <c r="A21" s="3">
        <v>44217</v>
      </c>
      <c r="B21" s="4" t="s">
        <v>94</v>
      </c>
      <c r="C21" s="5">
        <v>6</v>
      </c>
      <c r="D21" s="5" t="s">
        <v>108</v>
      </c>
      <c r="E21" s="5" t="s">
        <v>106</v>
      </c>
      <c r="F21" s="6">
        <v>0</v>
      </c>
      <c r="G21" t="str">
        <f>VLOOKUP(InputData[[#This Row],[PRODUCT ID]],MasterData[],2,)</f>
        <v>Product42</v>
      </c>
      <c r="H21" t="str">
        <f>VLOOKUP(InputData[[#This Row],[PRODUCT ID]],MasterData[],3,)</f>
        <v>Category05</v>
      </c>
      <c r="I21" t="str">
        <f>VLOOKUP(InputData[[#This Row],[PRODUCT ID]],MasterData[],4,)</f>
        <v>Ft</v>
      </c>
      <c r="J21" s="7">
        <f>VLOOKUP(InputData[[#This Row],[PRODUCT ID]],MasterData[],5,)</f>
        <v>120</v>
      </c>
      <c r="K21" s="7">
        <f>VLOOKUP(InputData[[#This Row],[PRODUCT ID]],MasterData[],6,)</f>
        <v>162</v>
      </c>
      <c r="L21" s="7">
        <f>InputData[[#This Row],[BUYING PRIZE]]*InputData[[#This Row],[QUANTITY]]</f>
        <v>720</v>
      </c>
      <c r="M21" s="7">
        <f>InputData[[#This Row],[SELLING PRICE]]*InputData[[#This Row],[QUANTITY]]*(1-InputData[[#This Row],[DISCOUNT %]])</f>
        <v>972</v>
      </c>
      <c r="N21">
        <f>DAY(InputData[[#This Row],[DATE]])</f>
        <v>21</v>
      </c>
      <c r="O21" t="str">
        <f>TEXT(InputData[[#This Row],[DATE]],"mmm")</f>
        <v>Jan</v>
      </c>
      <c r="P21">
        <f>YEAR(InputData[[#This Row],[DATE]])</f>
        <v>2021</v>
      </c>
    </row>
    <row r="22" spans="1:16" x14ac:dyDescent="0.3">
      <c r="A22" s="3">
        <v>44221</v>
      </c>
      <c r="B22" s="4" t="s">
        <v>77</v>
      </c>
      <c r="C22" s="5">
        <v>6</v>
      </c>
      <c r="D22" s="5" t="s">
        <v>108</v>
      </c>
      <c r="E22" s="5" t="s">
        <v>107</v>
      </c>
      <c r="F22" s="6">
        <v>0</v>
      </c>
      <c r="G22" t="str">
        <f>VLOOKUP(InputData[[#This Row],[PRODUCT ID]],MasterData[],2,)</f>
        <v>Product34</v>
      </c>
      <c r="H22" t="str">
        <f>VLOOKUP(InputData[[#This Row],[PRODUCT ID]],MasterData[],3,)</f>
        <v>Category04</v>
      </c>
      <c r="I22" t="str">
        <f>VLOOKUP(InputData[[#This Row],[PRODUCT ID]],MasterData[],4,)</f>
        <v>Lt</v>
      </c>
      <c r="J22" s="7">
        <f>VLOOKUP(InputData[[#This Row],[PRODUCT ID]],MasterData[],5,)</f>
        <v>55</v>
      </c>
      <c r="K22" s="7">
        <f>VLOOKUP(InputData[[#This Row],[PRODUCT ID]],MasterData[],6,)</f>
        <v>58.3</v>
      </c>
      <c r="L22" s="7">
        <f>InputData[[#This Row],[BUYING PRIZE]]*InputData[[#This Row],[QUANTITY]]</f>
        <v>330</v>
      </c>
      <c r="M22" s="7">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3">
      <c r="A23" s="3">
        <v>44221</v>
      </c>
      <c r="B23" s="4" t="s">
        <v>79</v>
      </c>
      <c r="C23" s="5">
        <v>7</v>
      </c>
      <c r="D23" s="5" t="s">
        <v>108</v>
      </c>
      <c r="E23" s="5" t="s">
        <v>106</v>
      </c>
      <c r="F23" s="6">
        <v>0</v>
      </c>
      <c r="G23" t="str">
        <f>VLOOKUP(InputData[[#This Row],[PRODUCT ID]],MasterData[],2,)</f>
        <v>Product35</v>
      </c>
      <c r="H23" t="str">
        <f>VLOOKUP(InputData[[#This Row],[PRODUCT ID]],MasterData[],3,)</f>
        <v>Category04</v>
      </c>
      <c r="I23" t="str">
        <f>VLOOKUP(InputData[[#This Row],[PRODUCT ID]],MasterData[],4,)</f>
        <v>No.</v>
      </c>
      <c r="J23" s="7">
        <f>VLOOKUP(InputData[[#This Row],[PRODUCT ID]],MasterData[],5,)</f>
        <v>5</v>
      </c>
      <c r="K23" s="7">
        <f>VLOOKUP(InputData[[#This Row],[PRODUCT ID]],MasterData[],6,)</f>
        <v>6.7</v>
      </c>
      <c r="L23" s="7">
        <f>InputData[[#This Row],[BUYING PRIZE]]*InputData[[#This Row],[QUANTITY]]</f>
        <v>35</v>
      </c>
      <c r="M23" s="7">
        <f>InputData[[#This Row],[SELLING PRICE]]*InputData[[#This Row],[QUANTITY]]*(1-InputData[[#This Row],[DISCOUNT %]])</f>
        <v>46.9</v>
      </c>
      <c r="N23">
        <f>DAY(InputData[[#This Row],[DATE]])</f>
        <v>25</v>
      </c>
      <c r="O23" t="str">
        <f>TEXT(InputData[[#This Row],[DATE]],"mmm")</f>
        <v>Jan</v>
      </c>
      <c r="P23">
        <f>YEAR(InputData[[#This Row],[DATE]])</f>
        <v>2021</v>
      </c>
    </row>
    <row r="24" spans="1:16" x14ac:dyDescent="0.3">
      <c r="A24" s="3">
        <v>44221</v>
      </c>
      <c r="B24" s="4" t="s">
        <v>71</v>
      </c>
      <c r="C24" s="5">
        <v>14</v>
      </c>
      <c r="D24" s="5" t="s">
        <v>108</v>
      </c>
      <c r="E24" s="5" t="s">
        <v>106</v>
      </c>
      <c r="F24" s="6">
        <v>0</v>
      </c>
      <c r="G24" t="str">
        <f>VLOOKUP(InputData[[#This Row],[PRODUCT ID]],MasterData[],2,)</f>
        <v>Product31</v>
      </c>
      <c r="H24" t="str">
        <f>VLOOKUP(InputData[[#This Row],[PRODUCT ID]],MasterData[],3,)</f>
        <v>Category04</v>
      </c>
      <c r="I24" t="str">
        <f>VLOOKUP(InputData[[#This Row],[PRODUCT ID]],MasterData[],4,)</f>
        <v>Kg</v>
      </c>
      <c r="J24" s="7">
        <f>VLOOKUP(InputData[[#This Row],[PRODUCT ID]],MasterData[],5,)</f>
        <v>93</v>
      </c>
      <c r="K24" s="7">
        <f>VLOOKUP(InputData[[#This Row],[PRODUCT ID]],MasterData[],6,)</f>
        <v>104.16</v>
      </c>
      <c r="L24" s="7">
        <f>InputData[[#This Row],[BUYING PRIZE]]*InputData[[#This Row],[QUANTITY]]</f>
        <v>1302</v>
      </c>
      <c r="M24" s="7">
        <f>InputData[[#This Row],[SELLING PRICE]]*InputData[[#This Row],[QUANTITY]]*(1-InputData[[#This Row],[DISCOUNT %]])</f>
        <v>1458.24</v>
      </c>
      <c r="N24">
        <f>DAY(InputData[[#This Row],[DATE]])</f>
        <v>25</v>
      </c>
      <c r="O24" t="str">
        <f>TEXT(InputData[[#This Row],[DATE]],"mmm")</f>
        <v>Jan</v>
      </c>
      <c r="P24">
        <f>YEAR(InputData[[#This Row],[DATE]])</f>
        <v>2021</v>
      </c>
    </row>
    <row r="25" spans="1:16" x14ac:dyDescent="0.3">
      <c r="A25" s="3">
        <v>44222</v>
      </c>
      <c r="B25" s="4" t="s">
        <v>98</v>
      </c>
      <c r="C25" s="5">
        <v>9</v>
      </c>
      <c r="D25" s="5" t="s">
        <v>105</v>
      </c>
      <c r="E25" s="5" t="s">
        <v>107</v>
      </c>
      <c r="F25" s="6">
        <v>0</v>
      </c>
      <c r="G25" t="str">
        <f>VLOOKUP(InputData[[#This Row],[PRODUCT ID]],MasterData[],2,)</f>
        <v>Product44</v>
      </c>
      <c r="H25" t="str">
        <f>VLOOKUP(InputData[[#This Row],[PRODUCT ID]],MasterData[],3,)</f>
        <v>Category05</v>
      </c>
      <c r="I25" t="str">
        <f>VLOOKUP(InputData[[#This Row],[PRODUCT ID]],MasterData[],4,)</f>
        <v>Kg</v>
      </c>
      <c r="J25" s="7">
        <f>VLOOKUP(InputData[[#This Row],[PRODUCT ID]],MasterData[],5,)</f>
        <v>76</v>
      </c>
      <c r="K25" s="7">
        <f>VLOOKUP(InputData[[#This Row],[PRODUCT ID]],MasterData[],6,)</f>
        <v>82.08</v>
      </c>
      <c r="L25" s="7">
        <f>InputData[[#This Row],[BUYING PRIZE]]*InputData[[#This Row],[QUANTITY]]</f>
        <v>684</v>
      </c>
      <c r="M25" s="7">
        <f>InputData[[#This Row],[SELLING PRICE]]*InputData[[#This Row],[QUANTITY]]*(1-InputData[[#This Row],[DISCOUNT %]])</f>
        <v>738.72</v>
      </c>
      <c r="N25">
        <f>DAY(InputData[[#This Row],[DATE]])</f>
        <v>26</v>
      </c>
      <c r="O25" t="str">
        <f>TEXT(InputData[[#This Row],[DATE]],"mmm")</f>
        <v>Jan</v>
      </c>
      <c r="P25">
        <f>YEAR(InputData[[#This Row],[DATE]])</f>
        <v>2021</v>
      </c>
    </row>
    <row r="26" spans="1:16" x14ac:dyDescent="0.3">
      <c r="A26" s="3">
        <v>44222</v>
      </c>
      <c r="B26" s="4" t="s">
        <v>18</v>
      </c>
      <c r="C26" s="5">
        <v>7</v>
      </c>
      <c r="D26" s="5" t="s">
        <v>106</v>
      </c>
      <c r="E26" s="5" t="s">
        <v>107</v>
      </c>
      <c r="F26" s="6">
        <v>0</v>
      </c>
      <c r="G26" t="str">
        <f>VLOOKUP(InputData[[#This Row],[PRODUCT ID]],MasterData[],2,)</f>
        <v>Product06</v>
      </c>
      <c r="H26" t="str">
        <f>VLOOKUP(InputData[[#This Row],[PRODUCT ID]],MasterData[],3,)</f>
        <v>Category01</v>
      </c>
      <c r="I26" t="str">
        <f>VLOOKUP(InputData[[#This Row],[PRODUCT ID]],MasterData[],4,)</f>
        <v>Kg</v>
      </c>
      <c r="J26" s="7">
        <f>VLOOKUP(InputData[[#This Row],[PRODUCT ID]],MasterData[],5,)</f>
        <v>75</v>
      </c>
      <c r="K26" s="7">
        <f>VLOOKUP(InputData[[#This Row],[PRODUCT ID]],MasterData[],6,)</f>
        <v>85.5</v>
      </c>
      <c r="L26" s="7">
        <f>InputData[[#This Row],[BUYING PRIZE]]*InputData[[#This Row],[QUANTITY]]</f>
        <v>525</v>
      </c>
      <c r="M26" s="7">
        <f>InputData[[#This Row],[SELLING PRICE]]*InputData[[#This Row],[QUANTITY]]*(1-InputData[[#This Row],[DISCOUNT %]])</f>
        <v>598.5</v>
      </c>
      <c r="N26">
        <f>DAY(InputData[[#This Row],[DATE]])</f>
        <v>26</v>
      </c>
      <c r="O26" t="str">
        <f>TEXT(InputData[[#This Row],[DATE]],"mmm")</f>
        <v>Jan</v>
      </c>
      <c r="P26">
        <f>YEAR(InputData[[#This Row],[DATE]])</f>
        <v>2021</v>
      </c>
    </row>
    <row r="27" spans="1:16" x14ac:dyDescent="0.3">
      <c r="A27" s="3">
        <v>44222</v>
      </c>
      <c r="B27" s="4" t="s">
        <v>6</v>
      </c>
      <c r="C27" s="5">
        <v>7</v>
      </c>
      <c r="D27" s="5" t="s">
        <v>106</v>
      </c>
      <c r="E27" s="5" t="s">
        <v>106</v>
      </c>
      <c r="F27" s="6">
        <v>0</v>
      </c>
      <c r="G27" t="str">
        <f>VLOOKUP(InputData[[#This Row],[PRODUCT ID]],MasterData[],2,)</f>
        <v>Product01</v>
      </c>
      <c r="H27" t="str">
        <f>VLOOKUP(InputData[[#This Row],[PRODUCT ID]],MasterData[],3,)</f>
        <v>Category01</v>
      </c>
      <c r="I27" t="str">
        <f>VLOOKUP(InputData[[#This Row],[PRODUCT ID]],MasterData[],4,)</f>
        <v>Kg</v>
      </c>
      <c r="J27" s="7">
        <f>VLOOKUP(InputData[[#This Row],[PRODUCT ID]],MasterData[],5,)</f>
        <v>98</v>
      </c>
      <c r="K27" s="7">
        <f>VLOOKUP(InputData[[#This Row],[PRODUCT ID]],MasterData[],6,)</f>
        <v>103.88</v>
      </c>
      <c r="L27" s="7">
        <f>InputData[[#This Row],[BUYING PRIZE]]*InputData[[#This Row],[QUANTITY]]</f>
        <v>686</v>
      </c>
      <c r="M27" s="7">
        <f>InputData[[#This Row],[SELLING PRICE]]*InputData[[#This Row],[QUANTITY]]*(1-InputData[[#This Row],[DISCOUNT %]])</f>
        <v>727.16</v>
      </c>
      <c r="N27">
        <f>DAY(InputData[[#This Row],[DATE]])</f>
        <v>26</v>
      </c>
      <c r="O27" t="str">
        <f>TEXT(InputData[[#This Row],[DATE]],"mmm")</f>
        <v>Jan</v>
      </c>
      <c r="P27">
        <f>YEAR(InputData[[#This Row],[DATE]])</f>
        <v>2021</v>
      </c>
    </row>
    <row r="28" spans="1:16" x14ac:dyDescent="0.3">
      <c r="A28" s="3">
        <v>44223</v>
      </c>
      <c r="B28" s="4" t="s">
        <v>90</v>
      </c>
      <c r="C28" s="5">
        <v>7</v>
      </c>
      <c r="D28" s="5" t="s">
        <v>105</v>
      </c>
      <c r="E28" s="5" t="s">
        <v>106</v>
      </c>
      <c r="F28" s="6">
        <v>0</v>
      </c>
      <c r="G28" t="str">
        <f>VLOOKUP(InputData[[#This Row],[PRODUCT ID]],MasterData[],2,)</f>
        <v>Product40</v>
      </c>
      <c r="H28" t="str">
        <f>VLOOKUP(InputData[[#This Row],[PRODUCT ID]],MasterData[],3,)</f>
        <v>Category05</v>
      </c>
      <c r="I28" t="str">
        <f>VLOOKUP(InputData[[#This Row],[PRODUCT ID]],MasterData[],4,)</f>
        <v>Kg</v>
      </c>
      <c r="J28" s="7">
        <f>VLOOKUP(InputData[[#This Row],[PRODUCT ID]],MasterData[],5,)</f>
        <v>90</v>
      </c>
      <c r="K28" s="7">
        <f>VLOOKUP(InputData[[#This Row],[PRODUCT ID]],MasterData[],6,)</f>
        <v>115.2</v>
      </c>
      <c r="L28" s="7">
        <f>InputData[[#This Row],[BUYING PRIZE]]*InputData[[#This Row],[QUANTITY]]</f>
        <v>630</v>
      </c>
      <c r="M28" s="7">
        <f>InputData[[#This Row],[SELLING PRICE]]*InputData[[#This Row],[QUANTITY]]*(1-InputData[[#This Row],[DISCOUNT %]])</f>
        <v>806.4</v>
      </c>
      <c r="N28">
        <f>DAY(InputData[[#This Row],[DATE]])</f>
        <v>27</v>
      </c>
      <c r="O28" t="str">
        <f>TEXT(InputData[[#This Row],[DATE]],"mmm")</f>
        <v>Jan</v>
      </c>
      <c r="P28">
        <f>YEAR(InputData[[#This Row],[DATE]])</f>
        <v>2021</v>
      </c>
    </row>
    <row r="29" spans="1:16" x14ac:dyDescent="0.3">
      <c r="A29" s="3">
        <v>44223</v>
      </c>
      <c r="B29" s="4" t="s">
        <v>73</v>
      </c>
      <c r="C29" s="5">
        <v>3</v>
      </c>
      <c r="D29" s="5" t="s">
        <v>105</v>
      </c>
      <c r="E29" s="5" t="s">
        <v>106</v>
      </c>
      <c r="F29" s="6">
        <v>0</v>
      </c>
      <c r="G29" t="str">
        <f>VLOOKUP(InputData[[#This Row],[PRODUCT ID]],MasterData[],2,)</f>
        <v>Product32</v>
      </c>
      <c r="H29" t="str">
        <f>VLOOKUP(InputData[[#This Row],[PRODUCT ID]],MasterData[],3,)</f>
        <v>Category04</v>
      </c>
      <c r="I29" t="str">
        <f>VLOOKUP(InputData[[#This Row],[PRODUCT ID]],MasterData[],4,)</f>
        <v>Kg</v>
      </c>
      <c r="J29" s="7">
        <f>VLOOKUP(InputData[[#This Row],[PRODUCT ID]],MasterData[],5,)</f>
        <v>89</v>
      </c>
      <c r="K29" s="7">
        <f>VLOOKUP(InputData[[#This Row],[PRODUCT ID]],MasterData[],6,)</f>
        <v>117.48</v>
      </c>
      <c r="L29" s="7">
        <f>InputData[[#This Row],[BUYING PRIZE]]*InputData[[#This Row],[QUANTITY]]</f>
        <v>267</v>
      </c>
      <c r="M29" s="7">
        <f>InputData[[#This Row],[SELLING PRICE]]*InputData[[#This Row],[QUANTITY]]*(1-InputData[[#This Row],[DISCOUNT %]])</f>
        <v>352.44</v>
      </c>
      <c r="N29">
        <f>DAY(InputData[[#This Row],[DATE]])</f>
        <v>27</v>
      </c>
      <c r="O29" t="str">
        <f>TEXT(InputData[[#This Row],[DATE]],"mmm")</f>
        <v>Jan</v>
      </c>
      <c r="P29">
        <f>YEAR(InputData[[#This Row],[DATE]])</f>
        <v>2021</v>
      </c>
    </row>
    <row r="30" spans="1:16" x14ac:dyDescent="0.3">
      <c r="A30" s="3">
        <v>44224</v>
      </c>
      <c r="B30" s="4" t="s">
        <v>14</v>
      </c>
      <c r="C30" s="5">
        <v>10</v>
      </c>
      <c r="D30" s="5" t="s">
        <v>106</v>
      </c>
      <c r="E30" s="5" t="s">
        <v>107</v>
      </c>
      <c r="F30" s="6">
        <v>0</v>
      </c>
      <c r="G30" t="str">
        <f>VLOOKUP(InputData[[#This Row],[PRODUCT ID]],MasterData[],2,)</f>
        <v>Product04</v>
      </c>
      <c r="H30" t="str">
        <f>VLOOKUP(InputData[[#This Row],[PRODUCT ID]],MasterData[],3,)</f>
        <v>Category01</v>
      </c>
      <c r="I30" t="str">
        <f>VLOOKUP(InputData[[#This Row],[PRODUCT ID]],MasterData[],4,)</f>
        <v>Lt</v>
      </c>
      <c r="J30" s="7">
        <f>VLOOKUP(InputData[[#This Row],[PRODUCT ID]],MasterData[],5,)</f>
        <v>44</v>
      </c>
      <c r="K30" s="7">
        <f>VLOOKUP(InputData[[#This Row],[PRODUCT ID]],MasterData[],6,)</f>
        <v>48.84</v>
      </c>
      <c r="L30" s="7">
        <f>InputData[[#This Row],[BUYING PRIZE]]*InputData[[#This Row],[QUANTITY]]</f>
        <v>440</v>
      </c>
      <c r="M30" s="7">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3">
      <c r="A31" s="3">
        <v>44224</v>
      </c>
      <c r="B31" s="4" t="s">
        <v>67</v>
      </c>
      <c r="C31" s="5">
        <v>2</v>
      </c>
      <c r="D31" s="5" t="s">
        <v>108</v>
      </c>
      <c r="E31" s="5" t="s">
        <v>107</v>
      </c>
      <c r="F31" s="6">
        <v>0</v>
      </c>
      <c r="G31" t="str">
        <f>VLOOKUP(InputData[[#This Row],[PRODUCT ID]],MasterData[],2,)</f>
        <v>Product29</v>
      </c>
      <c r="H31" t="str">
        <f>VLOOKUP(InputData[[#This Row],[PRODUCT ID]],MasterData[],3,)</f>
        <v>Category04</v>
      </c>
      <c r="I31" t="str">
        <f>VLOOKUP(InputData[[#This Row],[PRODUCT ID]],MasterData[],4,)</f>
        <v>Lt</v>
      </c>
      <c r="J31" s="7">
        <f>VLOOKUP(InputData[[#This Row],[PRODUCT ID]],MasterData[],5,)</f>
        <v>47</v>
      </c>
      <c r="K31" s="7">
        <f>VLOOKUP(InputData[[#This Row],[PRODUCT ID]],MasterData[],6,)</f>
        <v>53.11</v>
      </c>
      <c r="L31" s="7">
        <f>InputData[[#This Row],[BUYING PRIZE]]*InputData[[#This Row],[QUANTITY]]</f>
        <v>94</v>
      </c>
      <c r="M31" s="7">
        <f>InputData[[#This Row],[SELLING PRICE]]*InputData[[#This Row],[QUANTITY]]*(1-InputData[[#This Row],[DISCOUNT %]])</f>
        <v>106.22</v>
      </c>
      <c r="N31">
        <f>DAY(InputData[[#This Row],[DATE]])</f>
        <v>28</v>
      </c>
      <c r="O31" t="str">
        <f>TEXT(InputData[[#This Row],[DATE]],"mmm")</f>
        <v>Jan</v>
      </c>
      <c r="P31">
        <f>YEAR(InputData[[#This Row],[DATE]])</f>
        <v>2021</v>
      </c>
    </row>
    <row r="32" spans="1:16" x14ac:dyDescent="0.3">
      <c r="A32" s="3">
        <v>44229</v>
      </c>
      <c r="B32" s="4" t="s">
        <v>26</v>
      </c>
      <c r="C32" s="5">
        <v>7</v>
      </c>
      <c r="D32" s="5" t="s">
        <v>106</v>
      </c>
      <c r="E32" s="5" t="s">
        <v>106</v>
      </c>
      <c r="F32" s="6">
        <v>0</v>
      </c>
      <c r="G32" t="str">
        <f>VLOOKUP(InputData[[#This Row],[PRODUCT ID]],MasterData[],2,)</f>
        <v>Product10</v>
      </c>
      <c r="H32" t="str">
        <f>VLOOKUP(InputData[[#This Row],[PRODUCT ID]],MasterData[],3,)</f>
        <v>Category02</v>
      </c>
      <c r="I32" t="str">
        <f>VLOOKUP(InputData[[#This Row],[PRODUCT ID]],MasterData[],4,)</f>
        <v>Ft</v>
      </c>
      <c r="J32" s="7">
        <f>VLOOKUP(InputData[[#This Row],[PRODUCT ID]],MasterData[],5,)</f>
        <v>148</v>
      </c>
      <c r="K32" s="7">
        <f>VLOOKUP(InputData[[#This Row],[PRODUCT ID]],MasterData[],6,)</f>
        <v>164.28</v>
      </c>
      <c r="L32" s="7">
        <f>InputData[[#This Row],[BUYING PRIZE]]*InputData[[#This Row],[QUANTITY]]</f>
        <v>1036</v>
      </c>
      <c r="M32" s="7">
        <f>InputData[[#This Row],[SELLING PRICE]]*InputData[[#This Row],[QUANTITY]]*(1-InputData[[#This Row],[DISCOUNT %]])</f>
        <v>1149.96</v>
      </c>
      <c r="N32">
        <f>DAY(InputData[[#This Row],[DATE]])</f>
        <v>2</v>
      </c>
      <c r="O32" t="str">
        <f>TEXT(InputData[[#This Row],[DATE]],"mmm")</f>
        <v>Feb</v>
      </c>
      <c r="P32">
        <f>YEAR(InputData[[#This Row],[DATE]])</f>
        <v>2021</v>
      </c>
    </row>
    <row r="33" spans="1:16" x14ac:dyDescent="0.3">
      <c r="A33" s="3">
        <v>44230</v>
      </c>
      <c r="B33" s="4" t="s">
        <v>39</v>
      </c>
      <c r="C33" s="5">
        <v>13</v>
      </c>
      <c r="D33" s="5" t="s">
        <v>108</v>
      </c>
      <c r="E33" s="5" t="s">
        <v>106</v>
      </c>
      <c r="F33" s="6">
        <v>0</v>
      </c>
      <c r="G33" t="str">
        <f>VLOOKUP(InputData[[#This Row],[PRODUCT ID]],MasterData[],2,)</f>
        <v>Product16</v>
      </c>
      <c r="H33" t="str">
        <f>VLOOKUP(InputData[[#This Row],[PRODUCT ID]],MasterData[],3,)</f>
        <v>Category02</v>
      </c>
      <c r="I33" t="str">
        <f>VLOOKUP(InputData[[#This Row],[PRODUCT ID]],MasterData[],4,)</f>
        <v>No.</v>
      </c>
      <c r="J33" s="7">
        <f>VLOOKUP(InputData[[#This Row],[PRODUCT ID]],MasterData[],5,)</f>
        <v>13</v>
      </c>
      <c r="K33" s="7">
        <f>VLOOKUP(InputData[[#This Row],[PRODUCT ID]],MasterData[],6,)</f>
        <v>16.64</v>
      </c>
      <c r="L33" s="7">
        <f>InputData[[#This Row],[BUYING PRIZE]]*InputData[[#This Row],[QUANTITY]]</f>
        <v>169</v>
      </c>
      <c r="M33" s="7">
        <f>InputData[[#This Row],[SELLING PRICE]]*InputData[[#This Row],[QUANTITY]]*(1-InputData[[#This Row],[DISCOUNT %]])</f>
        <v>216.32</v>
      </c>
      <c r="N33">
        <f>DAY(InputData[[#This Row],[DATE]])</f>
        <v>3</v>
      </c>
      <c r="O33" t="str">
        <f>TEXT(InputData[[#This Row],[DATE]],"mmm")</f>
        <v>Feb</v>
      </c>
      <c r="P33">
        <f>YEAR(InputData[[#This Row],[DATE]])</f>
        <v>2021</v>
      </c>
    </row>
    <row r="34" spans="1:16" x14ac:dyDescent="0.3">
      <c r="A34" s="3">
        <v>44230</v>
      </c>
      <c r="B34" s="4" t="s">
        <v>52</v>
      </c>
      <c r="C34" s="5">
        <v>2</v>
      </c>
      <c r="D34" s="5" t="s">
        <v>105</v>
      </c>
      <c r="E34" s="5" t="s">
        <v>107</v>
      </c>
      <c r="F34" s="6">
        <v>0</v>
      </c>
      <c r="G34" t="str">
        <f>VLOOKUP(InputData[[#This Row],[PRODUCT ID]],MasterData[],2,)</f>
        <v>Product22</v>
      </c>
      <c r="H34" t="str">
        <f>VLOOKUP(InputData[[#This Row],[PRODUCT ID]],MasterData[],3,)</f>
        <v>Category03</v>
      </c>
      <c r="I34" t="str">
        <f>VLOOKUP(InputData[[#This Row],[PRODUCT ID]],MasterData[],4,)</f>
        <v>Ft</v>
      </c>
      <c r="J34" s="7">
        <f>VLOOKUP(InputData[[#This Row],[PRODUCT ID]],MasterData[],5,)</f>
        <v>121</v>
      </c>
      <c r="K34" s="7">
        <f>VLOOKUP(InputData[[#This Row],[PRODUCT ID]],MasterData[],6,)</f>
        <v>141.57</v>
      </c>
      <c r="L34" s="7">
        <f>InputData[[#This Row],[BUYING PRIZE]]*InputData[[#This Row],[QUANTITY]]</f>
        <v>242</v>
      </c>
      <c r="M34" s="7">
        <f>InputData[[#This Row],[SELLING PRICE]]*InputData[[#This Row],[QUANTITY]]*(1-InputData[[#This Row],[DISCOUNT %]])</f>
        <v>283.14</v>
      </c>
      <c r="N34">
        <f>DAY(InputData[[#This Row],[DATE]])</f>
        <v>3</v>
      </c>
      <c r="O34" t="str">
        <f>TEXT(InputData[[#This Row],[DATE]],"mmm")</f>
        <v>Feb</v>
      </c>
      <c r="P34">
        <f>YEAR(InputData[[#This Row],[DATE]])</f>
        <v>2021</v>
      </c>
    </row>
    <row r="35" spans="1:16" x14ac:dyDescent="0.3">
      <c r="A35" s="3">
        <v>44231</v>
      </c>
      <c r="B35" s="4" t="s">
        <v>83</v>
      </c>
      <c r="C35" s="5">
        <v>4</v>
      </c>
      <c r="D35" s="5" t="s">
        <v>106</v>
      </c>
      <c r="E35" s="5" t="s">
        <v>106</v>
      </c>
      <c r="F35" s="6">
        <v>0</v>
      </c>
      <c r="G35" t="str">
        <f>VLOOKUP(InputData[[#This Row],[PRODUCT ID]],MasterData[],2,)</f>
        <v>Product37</v>
      </c>
      <c r="H35" t="str">
        <f>VLOOKUP(InputData[[#This Row],[PRODUCT ID]],MasterData[],3,)</f>
        <v>Category05</v>
      </c>
      <c r="I35" t="str">
        <f>VLOOKUP(InputData[[#This Row],[PRODUCT ID]],MasterData[],4,)</f>
        <v>Kg</v>
      </c>
      <c r="J35" s="7">
        <f>VLOOKUP(InputData[[#This Row],[PRODUCT ID]],MasterData[],5,)</f>
        <v>67</v>
      </c>
      <c r="K35" s="7">
        <f>VLOOKUP(InputData[[#This Row],[PRODUCT ID]],MasterData[],6,)</f>
        <v>85.76</v>
      </c>
      <c r="L35" s="7">
        <f>InputData[[#This Row],[BUYING PRIZE]]*InputData[[#This Row],[QUANTITY]]</f>
        <v>268</v>
      </c>
      <c r="M35" s="7">
        <f>InputData[[#This Row],[SELLING PRICE]]*InputData[[#This Row],[QUANTITY]]*(1-InputData[[#This Row],[DISCOUNT %]])</f>
        <v>343.04</v>
      </c>
      <c r="N35">
        <f>DAY(InputData[[#This Row],[DATE]])</f>
        <v>4</v>
      </c>
      <c r="O35" t="str">
        <f>TEXT(InputData[[#This Row],[DATE]],"mmm")</f>
        <v>Feb</v>
      </c>
      <c r="P35">
        <f>YEAR(InputData[[#This Row],[DATE]])</f>
        <v>2021</v>
      </c>
    </row>
    <row r="36" spans="1:16" x14ac:dyDescent="0.3">
      <c r="A36" s="3">
        <v>44232</v>
      </c>
      <c r="B36" s="4" t="s">
        <v>96</v>
      </c>
      <c r="C36" s="5">
        <v>7</v>
      </c>
      <c r="D36" s="5" t="s">
        <v>106</v>
      </c>
      <c r="E36" s="5" t="s">
        <v>107</v>
      </c>
      <c r="F36" s="6">
        <v>0</v>
      </c>
      <c r="G36" t="str">
        <f>VLOOKUP(InputData[[#This Row],[PRODUCT ID]],MasterData[],2,)</f>
        <v>Product43</v>
      </c>
      <c r="H36" t="str">
        <f>VLOOKUP(InputData[[#This Row],[PRODUCT ID]],MasterData[],3,)</f>
        <v>Category05</v>
      </c>
      <c r="I36" t="str">
        <f>VLOOKUP(InputData[[#This Row],[PRODUCT ID]],MasterData[],4,)</f>
        <v>Kg</v>
      </c>
      <c r="J36" s="7">
        <f>VLOOKUP(InputData[[#This Row],[PRODUCT ID]],MasterData[],5,)</f>
        <v>67</v>
      </c>
      <c r="K36" s="7">
        <f>VLOOKUP(InputData[[#This Row],[PRODUCT ID]],MasterData[],6,)</f>
        <v>83.08</v>
      </c>
      <c r="L36" s="7">
        <f>InputData[[#This Row],[BUYING PRIZE]]*InputData[[#This Row],[QUANTITY]]</f>
        <v>469</v>
      </c>
      <c r="M36" s="7">
        <f>InputData[[#This Row],[SELLING PRICE]]*InputData[[#This Row],[QUANTITY]]*(1-InputData[[#This Row],[DISCOUNT %]])</f>
        <v>581.55999999999995</v>
      </c>
      <c r="N36">
        <f>DAY(InputData[[#This Row],[DATE]])</f>
        <v>5</v>
      </c>
      <c r="O36" t="str">
        <f>TEXT(InputData[[#This Row],[DATE]],"mmm")</f>
        <v>Feb</v>
      </c>
      <c r="P36">
        <f>YEAR(InputData[[#This Row],[DATE]])</f>
        <v>2021</v>
      </c>
    </row>
    <row r="37" spans="1:16" x14ac:dyDescent="0.3">
      <c r="A37" s="3">
        <v>44232</v>
      </c>
      <c r="B37" s="4" t="s">
        <v>16</v>
      </c>
      <c r="C37" s="5">
        <v>1</v>
      </c>
      <c r="D37" s="5" t="s">
        <v>108</v>
      </c>
      <c r="E37" s="5" t="s">
        <v>107</v>
      </c>
      <c r="F37" s="6">
        <v>0</v>
      </c>
      <c r="G37" t="str">
        <f>VLOOKUP(InputData[[#This Row],[PRODUCT ID]],MasterData[],2,)</f>
        <v>Product05</v>
      </c>
      <c r="H37" t="str">
        <f>VLOOKUP(InputData[[#This Row],[PRODUCT ID]],MasterData[],3,)</f>
        <v>Category01</v>
      </c>
      <c r="I37" t="str">
        <f>VLOOKUP(InputData[[#This Row],[PRODUCT ID]],MasterData[],4,)</f>
        <v>Ft</v>
      </c>
      <c r="J37" s="7">
        <f>VLOOKUP(InputData[[#This Row],[PRODUCT ID]],MasterData[],5,)</f>
        <v>133</v>
      </c>
      <c r="K37" s="7">
        <f>VLOOKUP(InputData[[#This Row],[PRODUCT ID]],MasterData[],6,)</f>
        <v>155.61000000000001</v>
      </c>
      <c r="L37" s="7">
        <f>InputData[[#This Row],[BUYING PRIZE]]*InputData[[#This Row],[QUANTITY]]</f>
        <v>133</v>
      </c>
      <c r="M37" s="7">
        <f>InputData[[#This Row],[SELLING PRICE]]*InputData[[#This Row],[QUANTITY]]*(1-InputData[[#This Row],[DISCOUNT %]])</f>
        <v>155.61000000000001</v>
      </c>
      <c r="N37">
        <f>DAY(InputData[[#This Row],[DATE]])</f>
        <v>5</v>
      </c>
      <c r="O37" t="str">
        <f>TEXT(InputData[[#This Row],[DATE]],"mmm")</f>
        <v>Feb</v>
      </c>
      <c r="P37">
        <f>YEAR(InputData[[#This Row],[DATE]])</f>
        <v>2021</v>
      </c>
    </row>
    <row r="38" spans="1:16" x14ac:dyDescent="0.3">
      <c r="A38" s="3">
        <v>44232</v>
      </c>
      <c r="B38" s="4" t="s">
        <v>96</v>
      </c>
      <c r="C38" s="5">
        <v>9</v>
      </c>
      <c r="D38" s="5" t="s">
        <v>108</v>
      </c>
      <c r="E38" s="5" t="s">
        <v>107</v>
      </c>
      <c r="F38" s="6">
        <v>0</v>
      </c>
      <c r="G38" t="str">
        <f>VLOOKUP(InputData[[#This Row],[PRODUCT ID]],MasterData[],2,)</f>
        <v>Product43</v>
      </c>
      <c r="H38" t="str">
        <f>VLOOKUP(InputData[[#This Row],[PRODUCT ID]],MasterData[],3,)</f>
        <v>Category05</v>
      </c>
      <c r="I38" t="str">
        <f>VLOOKUP(InputData[[#This Row],[PRODUCT ID]],MasterData[],4,)</f>
        <v>Kg</v>
      </c>
      <c r="J38" s="7">
        <f>VLOOKUP(InputData[[#This Row],[PRODUCT ID]],MasterData[],5,)</f>
        <v>67</v>
      </c>
      <c r="K38" s="7">
        <f>VLOOKUP(InputData[[#This Row],[PRODUCT ID]],MasterData[],6,)</f>
        <v>83.08</v>
      </c>
      <c r="L38" s="7">
        <f>InputData[[#This Row],[BUYING PRIZE]]*InputData[[#This Row],[QUANTITY]]</f>
        <v>603</v>
      </c>
      <c r="M38" s="7">
        <f>InputData[[#This Row],[SELLING PRICE]]*InputData[[#This Row],[QUANTITY]]*(1-InputData[[#This Row],[DISCOUNT %]])</f>
        <v>747.72</v>
      </c>
      <c r="N38">
        <f>DAY(InputData[[#This Row],[DATE]])</f>
        <v>5</v>
      </c>
      <c r="O38" t="str">
        <f>TEXT(InputData[[#This Row],[DATE]],"mmm")</f>
        <v>Feb</v>
      </c>
      <c r="P38">
        <f>YEAR(InputData[[#This Row],[DATE]])</f>
        <v>2021</v>
      </c>
    </row>
    <row r="39" spans="1:16" x14ac:dyDescent="0.3">
      <c r="A39" s="3">
        <v>44233</v>
      </c>
      <c r="B39" s="4" t="s">
        <v>79</v>
      </c>
      <c r="C39" s="5">
        <v>1</v>
      </c>
      <c r="D39" s="5" t="s">
        <v>108</v>
      </c>
      <c r="E39" s="5" t="s">
        <v>107</v>
      </c>
      <c r="F39" s="6">
        <v>0</v>
      </c>
      <c r="G39" t="str">
        <f>VLOOKUP(InputData[[#This Row],[PRODUCT ID]],MasterData[],2,)</f>
        <v>Product35</v>
      </c>
      <c r="H39" t="str">
        <f>VLOOKUP(InputData[[#This Row],[PRODUCT ID]],MasterData[],3,)</f>
        <v>Category04</v>
      </c>
      <c r="I39" t="str">
        <f>VLOOKUP(InputData[[#This Row],[PRODUCT ID]],MasterData[],4,)</f>
        <v>No.</v>
      </c>
      <c r="J39" s="7">
        <f>VLOOKUP(InputData[[#This Row],[PRODUCT ID]],MasterData[],5,)</f>
        <v>5</v>
      </c>
      <c r="K39" s="7">
        <f>VLOOKUP(InputData[[#This Row],[PRODUCT ID]],MasterData[],6,)</f>
        <v>6.7</v>
      </c>
      <c r="L39" s="7">
        <f>InputData[[#This Row],[BUYING PRIZE]]*InputData[[#This Row],[QUANTITY]]</f>
        <v>5</v>
      </c>
      <c r="M39" s="7">
        <f>InputData[[#This Row],[SELLING PRICE]]*InputData[[#This Row],[QUANTITY]]*(1-InputData[[#This Row],[DISCOUNT %]])</f>
        <v>6.7</v>
      </c>
      <c r="N39">
        <f>DAY(InputData[[#This Row],[DATE]])</f>
        <v>6</v>
      </c>
      <c r="O39" t="str">
        <f>TEXT(InputData[[#This Row],[DATE]],"mmm")</f>
        <v>Feb</v>
      </c>
      <c r="P39">
        <f>YEAR(InputData[[#This Row],[DATE]])</f>
        <v>2021</v>
      </c>
    </row>
    <row r="40" spans="1:16" x14ac:dyDescent="0.3">
      <c r="A40" s="3">
        <v>44236</v>
      </c>
      <c r="B40" s="4" t="s">
        <v>77</v>
      </c>
      <c r="C40" s="5">
        <v>14</v>
      </c>
      <c r="D40" s="5" t="s">
        <v>108</v>
      </c>
      <c r="E40" s="5" t="s">
        <v>106</v>
      </c>
      <c r="F40" s="6">
        <v>0</v>
      </c>
      <c r="G40" t="str">
        <f>VLOOKUP(InputData[[#This Row],[PRODUCT ID]],MasterData[],2,)</f>
        <v>Product34</v>
      </c>
      <c r="H40" t="str">
        <f>VLOOKUP(InputData[[#This Row],[PRODUCT ID]],MasterData[],3,)</f>
        <v>Category04</v>
      </c>
      <c r="I40" t="str">
        <f>VLOOKUP(InputData[[#This Row],[PRODUCT ID]],MasterData[],4,)</f>
        <v>Lt</v>
      </c>
      <c r="J40" s="7">
        <f>VLOOKUP(InputData[[#This Row],[PRODUCT ID]],MasterData[],5,)</f>
        <v>55</v>
      </c>
      <c r="K40" s="7">
        <f>VLOOKUP(InputData[[#This Row],[PRODUCT ID]],MasterData[],6,)</f>
        <v>58.3</v>
      </c>
      <c r="L40" s="7">
        <f>InputData[[#This Row],[BUYING PRIZE]]*InputData[[#This Row],[QUANTITY]]</f>
        <v>770</v>
      </c>
      <c r="M40" s="7">
        <f>InputData[[#This Row],[SELLING PRICE]]*InputData[[#This Row],[QUANTITY]]*(1-InputData[[#This Row],[DISCOUNT %]])</f>
        <v>816.19999999999993</v>
      </c>
      <c r="N40">
        <f>DAY(InputData[[#This Row],[DATE]])</f>
        <v>9</v>
      </c>
      <c r="O40" t="str">
        <f>TEXT(InputData[[#This Row],[DATE]],"mmm")</f>
        <v>Feb</v>
      </c>
      <c r="P40">
        <f>YEAR(InputData[[#This Row],[DATE]])</f>
        <v>2021</v>
      </c>
    </row>
    <row r="41" spans="1:16" x14ac:dyDescent="0.3">
      <c r="A41" s="3">
        <v>44239</v>
      </c>
      <c r="B41" s="4" t="s">
        <v>22</v>
      </c>
      <c r="C41" s="5">
        <v>7</v>
      </c>
      <c r="D41" s="5" t="s">
        <v>108</v>
      </c>
      <c r="E41" s="5" t="s">
        <v>107</v>
      </c>
      <c r="F41" s="6">
        <v>0</v>
      </c>
      <c r="G41" t="str">
        <f>VLOOKUP(InputData[[#This Row],[PRODUCT ID]],MasterData[],2,)</f>
        <v>Product08</v>
      </c>
      <c r="H41" t="str">
        <f>VLOOKUP(InputData[[#This Row],[PRODUCT ID]],MasterData[],3,)</f>
        <v>Category01</v>
      </c>
      <c r="I41" t="str">
        <f>VLOOKUP(InputData[[#This Row],[PRODUCT ID]],MasterData[],4,)</f>
        <v>Kg</v>
      </c>
      <c r="J41" s="7">
        <f>VLOOKUP(InputData[[#This Row],[PRODUCT ID]],MasterData[],5,)</f>
        <v>83</v>
      </c>
      <c r="K41" s="7">
        <f>VLOOKUP(InputData[[#This Row],[PRODUCT ID]],MasterData[],6,)</f>
        <v>94.62</v>
      </c>
      <c r="L41" s="7">
        <f>InputData[[#This Row],[BUYING PRIZE]]*InputData[[#This Row],[QUANTITY]]</f>
        <v>581</v>
      </c>
      <c r="M41" s="7">
        <f>InputData[[#This Row],[SELLING PRICE]]*InputData[[#This Row],[QUANTITY]]*(1-InputData[[#This Row],[DISCOUNT %]])</f>
        <v>662.34</v>
      </c>
      <c r="N41">
        <f>DAY(InputData[[#This Row],[DATE]])</f>
        <v>12</v>
      </c>
      <c r="O41" t="str">
        <f>TEXT(InputData[[#This Row],[DATE]],"mmm")</f>
        <v>Feb</v>
      </c>
      <c r="P41">
        <f>YEAR(InputData[[#This Row],[DATE]])</f>
        <v>2021</v>
      </c>
    </row>
    <row r="42" spans="1:16" x14ac:dyDescent="0.3">
      <c r="A42" s="3">
        <v>44239</v>
      </c>
      <c r="B42" s="4" t="s">
        <v>54</v>
      </c>
      <c r="C42" s="5">
        <v>9</v>
      </c>
      <c r="D42" s="5" t="s">
        <v>106</v>
      </c>
      <c r="E42" s="5" t="s">
        <v>107</v>
      </c>
      <c r="F42" s="6">
        <v>0</v>
      </c>
      <c r="G42" t="str">
        <f>VLOOKUP(InputData[[#This Row],[PRODUCT ID]],MasterData[],2,)</f>
        <v>Product23</v>
      </c>
      <c r="H42" t="str">
        <f>VLOOKUP(InputData[[#This Row],[PRODUCT ID]],MasterData[],3,)</f>
        <v>Category03</v>
      </c>
      <c r="I42" t="str">
        <f>VLOOKUP(InputData[[#This Row],[PRODUCT ID]],MasterData[],4,)</f>
        <v>Ft</v>
      </c>
      <c r="J42" s="7">
        <f>VLOOKUP(InputData[[#This Row],[PRODUCT ID]],MasterData[],5,)</f>
        <v>141</v>
      </c>
      <c r="K42" s="7">
        <f>VLOOKUP(InputData[[#This Row],[PRODUCT ID]],MasterData[],6,)</f>
        <v>149.46</v>
      </c>
      <c r="L42" s="7">
        <f>InputData[[#This Row],[BUYING PRIZE]]*InputData[[#This Row],[QUANTITY]]</f>
        <v>1269</v>
      </c>
      <c r="M42" s="7">
        <f>InputData[[#This Row],[SELLING PRICE]]*InputData[[#This Row],[QUANTITY]]*(1-InputData[[#This Row],[DISCOUNT %]])</f>
        <v>1345.14</v>
      </c>
      <c r="N42">
        <f>DAY(InputData[[#This Row],[DATE]])</f>
        <v>12</v>
      </c>
      <c r="O42" t="str">
        <f>TEXT(InputData[[#This Row],[DATE]],"mmm")</f>
        <v>Feb</v>
      </c>
      <c r="P42">
        <f>YEAR(InputData[[#This Row],[DATE]])</f>
        <v>2021</v>
      </c>
    </row>
    <row r="43" spans="1:16" x14ac:dyDescent="0.3">
      <c r="A43" s="3">
        <v>44242</v>
      </c>
      <c r="B43" s="4" t="s">
        <v>63</v>
      </c>
      <c r="C43" s="5">
        <v>4</v>
      </c>
      <c r="D43" s="5" t="s">
        <v>108</v>
      </c>
      <c r="E43" s="5" t="s">
        <v>106</v>
      </c>
      <c r="F43" s="6">
        <v>0</v>
      </c>
      <c r="G43" t="str">
        <f>VLOOKUP(InputData[[#This Row],[PRODUCT ID]],MasterData[],2,)</f>
        <v>Product27</v>
      </c>
      <c r="H43" t="str">
        <f>VLOOKUP(InputData[[#This Row],[PRODUCT ID]],MasterData[],3,)</f>
        <v>Category04</v>
      </c>
      <c r="I43" t="str">
        <f>VLOOKUP(InputData[[#This Row],[PRODUCT ID]],MasterData[],4,)</f>
        <v>Lt</v>
      </c>
      <c r="J43" s="7">
        <f>VLOOKUP(InputData[[#This Row],[PRODUCT ID]],MasterData[],5,)</f>
        <v>48</v>
      </c>
      <c r="K43" s="7">
        <f>VLOOKUP(InputData[[#This Row],[PRODUCT ID]],MasterData[],6,)</f>
        <v>57.120000000000005</v>
      </c>
      <c r="L43" s="7">
        <f>InputData[[#This Row],[BUYING PRIZE]]*InputData[[#This Row],[QUANTITY]]</f>
        <v>192</v>
      </c>
      <c r="M43" s="7">
        <f>InputData[[#This Row],[SELLING PRICE]]*InputData[[#This Row],[QUANTITY]]*(1-InputData[[#This Row],[DISCOUNT %]])</f>
        <v>228.48000000000002</v>
      </c>
      <c r="N43">
        <f>DAY(InputData[[#This Row],[DATE]])</f>
        <v>15</v>
      </c>
      <c r="O43" t="str">
        <f>TEXT(InputData[[#This Row],[DATE]],"mmm")</f>
        <v>Feb</v>
      </c>
      <c r="P43">
        <f>YEAR(InputData[[#This Row],[DATE]])</f>
        <v>2021</v>
      </c>
    </row>
    <row r="44" spans="1:16" x14ac:dyDescent="0.3">
      <c r="A44" s="3">
        <v>44245</v>
      </c>
      <c r="B44" s="4" t="s">
        <v>37</v>
      </c>
      <c r="C44" s="5">
        <v>6</v>
      </c>
      <c r="D44" s="5" t="s">
        <v>106</v>
      </c>
      <c r="E44" s="5" t="s">
        <v>107</v>
      </c>
      <c r="F44" s="6">
        <v>0</v>
      </c>
      <c r="G44" t="str">
        <f>VLOOKUP(InputData[[#This Row],[PRODUCT ID]],MasterData[],2,)</f>
        <v>Product15</v>
      </c>
      <c r="H44" t="str">
        <f>VLOOKUP(InputData[[#This Row],[PRODUCT ID]],MasterData[],3,)</f>
        <v>Category02</v>
      </c>
      <c r="I44" t="str">
        <f>VLOOKUP(InputData[[#This Row],[PRODUCT ID]],MasterData[],4,)</f>
        <v>No.</v>
      </c>
      <c r="J44" s="7">
        <f>VLOOKUP(InputData[[#This Row],[PRODUCT ID]],MasterData[],5,)</f>
        <v>12</v>
      </c>
      <c r="K44" s="7">
        <f>VLOOKUP(InputData[[#This Row],[PRODUCT ID]],MasterData[],6,)</f>
        <v>15.719999999999999</v>
      </c>
      <c r="L44" s="7">
        <f>InputData[[#This Row],[BUYING PRIZE]]*InputData[[#This Row],[QUANTITY]]</f>
        <v>72</v>
      </c>
      <c r="M44" s="7">
        <f>InputData[[#This Row],[SELLING PRICE]]*InputData[[#This Row],[QUANTITY]]*(1-InputData[[#This Row],[DISCOUNT %]])</f>
        <v>94.32</v>
      </c>
      <c r="N44">
        <f>DAY(InputData[[#This Row],[DATE]])</f>
        <v>18</v>
      </c>
      <c r="O44" t="str">
        <f>TEXT(InputData[[#This Row],[DATE]],"mmm")</f>
        <v>Feb</v>
      </c>
      <c r="P44">
        <f>YEAR(InputData[[#This Row],[DATE]])</f>
        <v>2021</v>
      </c>
    </row>
    <row r="45" spans="1:16" x14ac:dyDescent="0.3">
      <c r="A45" s="3">
        <v>44247</v>
      </c>
      <c r="B45" s="4" t="s">
        <v>69</v>
      </c>
      <c r="C45" s="5">
        <v>11</v>
      </c>
      <c r="D45" s="5" t="s">
        <v>106</v>
      </c>
      <c r="E45" s="5" t="s">
        <v>107</v>
      </c>
      <c r="F45" s="6">
        <v>0</v>
      </c>
      <c r="G45" t="str">
        <f>VLOOKUP(InputData[[#This Row],[PRODUCT ID]],MasterData[],2,)</f>
        <v>Product30</v>
      </c>
      <c r="H45" t="str">
        <f>VLOOKUP(InputData[[#This Row],[PRODUCT ID]],MasterData[],3,)</f>
        <v>Category04</v>
      </c>
      <c r="I45" t="str">
        <f>VLOOKUP(InputData[[#This Row],[PRODUCT ID]],MasterData[],4,)</f>
        <v>Ft</v>
      </c>
      <c r="J45" s="7">
        <f>VLOOKUP(InputData[[#This Row],[PRODUCT ID]],MasterData[],5,)</f>
        <v>148</v>
      </c>
      <c r="K45" s="7">
        <f>VLOOKUP(InputData[[#This Row],[PRODUCT ID]],MasterData[],6,)</f>
        <v>201.28</v>
      </c>
      <c r="L45" s="7">
        <f>InputData[[#This Row],[BUYING PRIZE]]*InputData[[#This Row],[QUANTITY]]</f>
        <v>1628</v>
      </c>
      <c r="M45" s="7">
        <f>InputData[[#This Row],[SELLING PRICE]]*InputData[[#This Row],[QUANTITY]]*(1-InputData[[#This Row],[DISCOUNT %]])</f>
        <v>2214.08</v>
      </c>
      <c r="N45">
        <f>DAY(InputData[[#This Row],[DATE]])</f>
        <v>20</v>
      </c>
      <c r="O45" t="str">
        <f>TEXT(InputData[[#This Row],[DATE]],"mmm")</f>
        <v>Feb</v>
      </c>
      <c r="P45">
        <f>YEAR(InputData[[#This Row],[DATE]])</f>
        <v>2021</v>
      </c>
    </row>
    <row r="46" spans="1:16" x14ac:dyDescent="0.3">
      <c r="A46" s="3">
        <v>44249</v>
      </c>
      <c r="B46" s="4" t="s">
        <v>33</v>
      </c>
      <c r="C46" s="5">
        <v>5</v>
      </c>
      <c r="D46" s="5" t="s">
        <v>106</v>
      </c>
      <c r="E46" s="5" t="s">
        <v>107</v>
      </c>
      <c r="F46" s="6">
        <v>0</v>
      </c>
      <c r="G46" t="str">
        <f>VLOOKUP(InputData[[#This Row],[PRODUCT ID]],MasterData[],2,)</f>
        <v>Product13</v>
      </c>
      <c r="H46" t="str">
        <f>VLOOKUP(InputData[[#This Row],[PRODUCT ID]],MasterData[],3,)</f>
        <v>Category02</v>
      </c>
      <c r="I46" t="str">
        <f>VLOOKUP(InputData[[#This Row],[PRODUCT ID]],MasterData[],4,)</f>
        <v>Kg</v>
      </c>
      <c r="J46" s="7">
        <f>VLOOKUP(InputData[[#This Row],[PRODUCT ID]],MasterData[],5,)</f>
        <v>112</v>
      </c>
      <c r="K46" s="7">
        <f>VLOOKUP(InputData[[#This Row],[PRODUCT ID]],MasterData[],6,)</f>
        <v>122.08</v>
      </c>
      <c r="L46" s="7">
        <f>InputData[[#This Row],[BUYING PRIZE]]*InputData[[#This Row],[QUANTITY]]</f>
        <v>560</v>
      </c>
      <c r="M46" s="7">
        <f>InputData[[#This Row],[SELLING PRICE]]*InputData[[#This Row],[QUANTITY]]*(1-InputData[[#This Row],[DISCOUNT %]])</f>
        <v>610.4</v>
      </c>
      <c r="N46">
        <f>DAY(InputData[[#This Row],[DATE]])</f>
        <v>22</v>
      </c>
      <c r="O46" t="str">
        <f>TEXT(InputData[[#This Row],[DATE]],"mmm")</f>
        <v>Feb</v>
      </c>
      <c r="P46">
        <f>YEAR(InputData[[#This Row],[DATE]])</f>
        <v>2021</v>
      </c>
    </row>
    <row r="47" spans="1:16" x14ac:dyDescent="0.3">
      <c r="A47" s="3">
        <v>44250</v>
      </c>
      <c r="B47" s="4" t="s">
        <v>58</v>
      </c>
      <c r="C47" s="5">
        <v>3</v>
      </c>
      <c r="D47" s="5" t="s">
        <v>108</v>
      </c>
      <c r="E47" s="5" t="s">
        <v>107</v>
      </c>
      <c r="F47" s="6">
        <v>0</v>
      </c>
      <c r="G47" t="str">
        <f>VLOOKUP(InputData[[#This Row],[PRODUCT ID]],MasterData[],2,)</f>
        <v>Product25</v>
      </c>
      <c r="H47" t="str">
        <f>VLOOKUP(InputData[[#This Row],[PRODUCT ID]],MasterData[],3,)</f>
        <v>Category03</v>
      </c>
      <c r="I47" t="str">
        <f>VLOOKUP(InputData[[#This Row],[PRODUCT ID]],MasterData[],4,)</f>
        <v>No.</v>
      </c>
      <c r="J47" s="7">
        <f>VLOOKUP(InputData[[#This Row],[PRODUCT ID]],MasterData[],5,)</f>
        <v>7</v>
      </c>
      <c r="K47" s="7">
        <f>VLOOKUP(InputData[[#This Row],[PRODUCT ID]],MasterData[],6,)</f>
        <v>8.33</v>
      </c>
      <c r="L47" s="7">
        <f>InputData[[#This Row],[BUYING PRIZE]]*InputData[[#This Row],[QUANTITY]]</f>
        <v>21</v>
      </c>
      <c r="M47" s="7">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3">
      <c r="A48" s="3">
        <v>44250</v>
      </c>
      <c r="B48" s="4" t="s">
        <v>16</v>
      </c>
      <c r="C48" s="5">
        <v>2</v>
      </c>
      <c r="D48" s="5" t="s">
        <v>108</v>
      </c>
      <c r="E48" s="5" t="s">
        <v>106</v>
      </c>
      <c r="F48" s="6">
        <v>0</v>
      </c>
      <c r="G48" t="str">
        <f>VLOOKUP(InputData[[#This Row],[PRODUCT ID]],MasterData[],2,)</f>
        <v>Product05</v>
      </c>
      <c r="H48" t="str">
        <f>VLOOKUP(InputData[[#This Row],[PRODUCT ID]],MasterData[],3,)</f>
        <v>Category01</v>
      </c>
      <c r="I48" t="str">
        <f>VLOOKUP(InputData[[#This Row],[PRODUCT ID]],MasterData[],4,)</f>
        <v>Ft</v>
      </c>
      <c r="J48" s="7">
        <f>VLOOKUP(InputData[[#This Row],[PRODUCT ID]],MasterData[],5,)</f>
        <v>133</v>
      </c>
      <c r="K48" s="7">
        <f>VLOOKUP(InputData[[#This Row],[PRODUCT ID]],MasterData[],6,)</f>
        <v>155.61000000000001</v>
      </c>
      <c r="L48" s="7">
        <f>InputData[[#This Row],[BUYING PRIZE]]*InputData[[#This Row],[QUANTITY]]</f>
        <v>266</v>
      </c>
      <c r="M48" s="7">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3">
      <c r="A49" s="3">
        <v>44252</v>
      </c>
      <c r="B49" s="4" t="s">
        <v>10</v>
      </c>
      <c r="C49" s="5">
        <v>4</v>
      </c>
      <c r="D49" s="5" t="s">
        <v>105</v>
      </c>
      <c r="E49" s="5" t="s">
        <v>106</v>
      </c>
      <c r="F49" s="6">
        <v>0</v>
      </c>
      <c r="G49" t="str">
        <f>VLOOKUP(InputData[[#This Row],[PRODUCT ID]],MasterData[],2,)</f>
        <v>Product02</v>
      </c>
      <c r="H49" t="str">
        <f>VLOOKUP(InputData[[#This Row],[PRODUCT ID]],MasterData[],3,)</f>
        <v>Category01</v>
      </c>
      <c r="I49" t="str">
        <f>VLOOKUP(InputData[[#This Row],[PRODUCT ID]],MasterData[],4,)</f>
        <v>Kg</v>
      </c>
      <c r="J49" s="7">
        <f>VLOOKUP(InputData[[#This Row],[PRODUCT ID]],MasterData[],5,)</f>
        <v>105</v>
      </c>
      <c r="K49" s="7">
        <f>VLOOKUP(InputData[[#This Row],[PRODUCT ID]],MasterData[],6,)</f>
        <v>142.80000000000001</v>
      </c>
      <c r="L49" s="7">
        <f>InputData[[#This Row],[BUYING PRIZE]]*InputData[[#This Row],[QUANTITY]]</f>
        <v>420</v>
      </c>
      <c r="M49" s="7">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3">
      <c r="A50" s="3">
        <v>44252</v>
      </c>
      <c r="B50" s="4" t="s">
        <v>73</v>
      </c>
      <c r="C50" s="5">
        <v>11</v>
      </c>
      <c r="D50" s="5" t="s">
        <v>106</v>
      </c>
      <c r="E50" s="5" t="s">
        <v>107</v>
      </c>
      <c r="F50" s="6">
        <v>0</v>
      </c>
      <c r="G50" t="str">
        <f>VLOOKUP(InputData[[#This Row],[PRODUCT ID]],MasterData[],2,)</f>
        <v>Product32</v>
      </c>
      <c r="H50" t="str">
        <f>VLOOKUP(InputData[[#This Row],[PRODUCT ID]],MasterData[],3,)</f>
        <v>Category04</v>
      </c>
      <c r="I50" t="str">
        <f>VLOOKUP(InputData[[#This Row],[PRODUCT ID]],MasterData[],4,)</f>
        <v>Kg</v>
      </c>
      <c r="J50" s="7">
        <f>VLOOKUP(InputData[[#This Row],[PRODUCT ID]],MasterData[],5,)</f>
        <v>89</v>
      </c>
      <c r="K50" s="7">
        <f>VLOOKUP(InputData[[#This Row],[PRODUCT ID]],MasterData[],6,)</f>
        <v>117.48</v>
      </c>
      <c r="L50" s="7">
        <f>InputData[[#This Row],[BUYING PRIZE]]*InputData[[#This Row],[QUANTITY]]</f>
        <v>979</v>
      </c>
      <c r="M50" s="7">
        <f>InputData[[#This Row],[SELLING PRICE]]*InputData[[#This Row],[QUANTITY]]*(1-InputData[[#This Row],[DISCOUNT %]])</f>
        <v>1292.28</v>
      </c>
      <c r="N50">
        <f>DAY(InputData[[#This Row],[DATE]])</f>
        <v>25</v>
      </c>
      <c r="O50" t="str">
        <f>TEXT(InputData[[#This Row],[DATE]],"mmm")</f>
        <v>Feb</v>
      </c>
      <c r="P50">
        <f>YEAR(InputData[[#This Row],[DATE]])</f>
        <v>2021</v>
      </c>
    </row>
    <row r="51" spans="1:16" x14ac:dyDescent="0.3">
      <c r="A51" s="3">
        <v>44252</v>
      </c>
      <c r="B51" s="4" t="s">
        <v>69</v>
      </c>
      <c r="C51" s="5">
        <v>2</v>
      </c>
      <c r="D51" s="5" t="s">
        <v>108</v>
      </c>
      <c r="E51" s="5" t="s">
        <v>106</v>
      </c>
      <c r="F51" s="6">
        <v>0</v>
      </c>
      <c r="G51" t="str">
        <f>VLOOKUP(InputData[[#This Row],[PRODUCT ID]],MasterData[],2,)</f>
        <v>Product30</v>
      </c>
      <c r="H51" t="str">
        <f>VLOOKUP(InputData[[#This Row],[PRODUCT ID]],MasterData[],3,)</f>
        <v>Category04</v>
      </c>
      <c r="I51" t="str">
        <f>VLOOKUP(InputData[[#This Row],[PRODUCT ID]],MasterData[],4,)</f>
        <v>Ft</v>
      </c>
      <c r="J51" s="7">
        <f>VLOOKUP(InputData[[#This Row],[PRODUCT ID]],MasterData[],5,)</f>
        <v>148</v>
      </c>
      <c r="K51" s="7">
        <f>VLOOKUP(InputData[[#This Row],[PRODUCT ID]],MasterData[],6,)</f>
        <v>201.28</v>
      </c>
      <c r="L51" s="7">
        <f>InputData[[#This Row],[BUYING PRIZE]]*InputData[[#This Row],[QUANTITY]]</f>
        <v>296</v>
      </c>
      <c r="M51" s="7">
        <f>InputData[[#This Row],[SELLING PRICE]]*InputData[[#This Row],[QUANTITY]]*(1-InputData[[#This Row],[DISCOUNT %]])</f>
        <v>402.56</v>
      </c>
      <c r="N51">
        <f>DAY(InputData[[#This Row],[DATE]])</f>
        <v>25</v>
      </c>
      <c r="O51" t="str">
        <f>TEXT(InputData[[#This Row],[DATE]],"mmm")</f>
        <v>Feb</v>
      </c>
      <c r="P51">
        <f>YEAR(InputData[[#This Row],[DATE]])</f>
        <v>2021</v>
      </c>
    </row>
    <row r="52" spans="1:16" x14ac:dyDescent="0.3">
      <c r="A52" s="3">
        <v>44254</v>
      </c>
      <c r="B52" s="4" t="s">
        <v>43</v>
      </c>
      <c r="C52" s="5">
        <v>11</v>
      </c>
      <c r="D52" s="5" t="s">
        <v>105</v>
      </c>
      <c r="E52" s="5" t="s">
        <v>106</v>
      </c>
      <c r="F52" s="6">
        <v>0</v>
      </c>
      <c r="G52" t="str">
        <f>VLOOKUP(InputData[[#This Row],[PRODUCT ID]],MasterData[],2,)</f>
        <v>Product18</v>
      </c>
      <c r="H52" t="str">
        <f>VLOOKUP(InputData[[#This Row],[PRODUCT ID]],MasterData[],3,)</f>
        <v>Category02</v>
      </c>
      <c r="I52" t="str">
        <f>VLOOKUP(InputData[[#This Row],[PRODUCT ID]],MasterData[],4,)</f>
        <v>No.</v>
      </c>
      <c r="J52" s="7">
        <f>VLOOKUP(InputData[[#This Row],[PRODUCT ID]],MasterData[],5,)</f>
        <v>37</v>
      </c>
      <c r="K52" s="7">
        <f>VLOOKUP(InputData[[#This Row],[PRODUCT ID]],MasterData[],6,)</f>
        <v>49.21</v>
      </c>
      <c r="L52" s="7">
        <f>InputData[[#This Row],[BUYING PRIZE]]*InputData[[#This Row],[QUANTITY]]</f>
        <v>407</v>
      </c>
      <c r="M52" s="7">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3">
      <c r="A53" s="3">
        <v>44258</v>
      </c>
      <c r="B53" s="4" t="s">
        <v>29</v>
      </c>
      <c r="C53" s="5">
        <v>1</v>
      </c>
      <c r="D53" s="5" t="s">
        <v>108</v>
      </c>
      <c r="E53" s="5" t="s">
        <v>106</v>
      </c>
      <c r="F53" s="6">
        <v>0</v>
      </c>
      <c r="G53" t="str">
        <f>VLOOKUP(InputData[[#This Row],[PRODUCT ID]],MasterData[],2,)</f>
        <v>Product11</v>
      </c>
      <c r="H53" t="str">
        <f>VLOOKUP(InputData[[#This Row],[PRODUCT ID]],MasterData[],3,)</f>
        <v>Category02</v>
      </c>
      <c r="I53" t="str">
        <f>VLOOKUP(InputData[[#This Row],[PRODUCT ID]],MasterData[],4,)</f>
        <v>Lt</v>
      </c>
      <c r="J53" s="7">
        <f>VLOOKUP(InputData[[#This Row],[PRODUCT ID]],MasterData[],5,)</f>
        <v>44</v>
      </c>
      <c r="K53" s="7">
        <f>VLOOKUP(InputData[[#This Row],[PRODUCT ID]],MasterData[],6,)</f>
        <v>48.4</v>
      </c>
      <c r="L53" s="7">
        <f>InputData[[#This Row],[BUYING PRIZE]]*InputData[[#This Row],[QUANTITY]]</f>
        <v>44</v>
      </c>
      <c r="M53" s="7">
        <f>InputData[[#This Row],[SELLING PRICE]]*InputData[[#This Row],[QUANTITY]]*(1-InputData[[#This Row],[DISCOUNT %]])</f>
        <v>48.4</v>
      </c>
      <c r="N53">
        <f>DAY(InputData[[#This Row],[DATE]])</f>
        <v>3</v>
      </c>
      <c r="O53" t="str">
        <f>TEXT(InputData[[#This Row],[DATE]],"mmm")</f>
        <v>Mar</v>
      </c>
      <c r="P53">
        <f>YEAR(InputData[[#This Row],[DATE]])</f>
        <v>2021</v>
      </c>
    </row>
    <row r="54" spans="1:16" x14ac:dyDescent="0.3">
      <c r="A54" s="3">
        <v>44262</v>
      </c>
      <c r="B54" s="4" t="s">
        <v>50</v>
      </c>
      <c r="C54" s="5">
        <v>9</v>
      </c>
      <c r="D54" s="5" t="s">
        <v>108</v>
      </c>
      <c r="E54" s="5" t="s">
        <v>107</v>
      </c>
      <c r="F54" s="6">
        <v>0</v>
      </c>
      <c r="G54" t="str">
        <f>VLOOKUP(InputData[[#This Row],[PRODUCT ID]],MasterData[],2,)</f>
        <v>Product21</v>
      </c>
      <c r="H54" t="str">
        <f>VLOOKUP(InputData[[#This Row],[PRODUCT ID]],MasterData[],3,)</f>
        <v>Category03</v>
      </c>
      <c r="I54" t="str">
        <f>VLOOKUP(InputData[[#This Row],[PRODUCT ID]],MasterData[],4,)</f>
        <v>Ft</v>
      </c>
      <c r="J54" s="7">
        <f>VLOOKUP(InputData[[#This Row],[PRODUCT ID]],MasterData[],5,)</f>
        <v>126</v>
      </c>
      <c r="K54" s="7">
        <f>VLOOKUP(InputData[[#This Row],[PRODUCT ID]],MasterData[],6,)</f>
        <v>162.54</v>
      </c>
      <c r="L54" s="7">
        <f>InputData[[#This Row],[BUYING PRIZE]]*InputData[[#This Row],[QUANTITY]]</f>
        <v>1134</v>
      </c>
      <c r="M54" s="7">
        <f>InputData[[#This Row],[SELLING PRICE]]*InputData[[#This Row],[QUANTITY]]*(1-InputData[[#This Row],[DISCOUNT %]])</f>
        <v>1462.86</v>
      </c>
      <c r="N54">
        <f>DAY(InputData[[#This Row],[DATE]])</f>
        <v>7</v>
      </c>
      <c r="O54" t="str">
        <f>TEXT(InputData[[#This Row],[DATE]],"mmm")</f>
        <v>Mar</v>
      </c>
      <c r="P54">
        <f>YEAR(InputData[[#This Row],[DATE]])</f>
        <v>2021</v>
      </c>
    </row>
    <row r="55" spans="1:16" x14ac:dyDescent="0.3">
      <c r="A55" s="3">
        <v>44263</v>
      </c>
      <c r="B55" s="4" t="s">
        <v>63</v>
      </c>
      <c r="C55" s="5">
        <v>6</v>
      </c>
      <c r="D55" s="5" t="s">
        <v>106</v>
      </c>
      <c r="E55" s="5" t="s">
        <v>107</v>
      </c>
      <c r="F55" s="6">
        <v>0</v>
      </c>
      <c r="G55" t="str">
        <f>VLOOKUP(InputData[[#This Row],[PRODUCT ID]],MasterData[],2,)</f>
        <v>Product27</v>
      </c>
      <c r="H55" t="str">
        <f>VLOOKUP(InputData[[#This Row],[PRODUCT ID]],MasterData[],3,)</f>
        <v>Category04</v>
      </c>
      <c r="I55" t="str">
        <f>VLOOKUP(InputData[[#This Row],[PRODUCT ID]],MasterData[],4,)</f>
        <v>Lt</v>
      </c>
      <c r="J55" s="7">
        <f>VLOOKUP(InputData[[#This Row],[PRODUCT ID]],MasterData[],5,)</f>
        <v>48</v>
      </c>
      <c r="K55" s="7">
        <f>VLOOKUP(InputData[[#This Row],[PRODUCT ID]],MasterData[],6,)</f>
        <v>57.120000000000005</v>
      </c>
      <c r="L55" s="7">
        <f>InputData[[#This Row],[BUYING PRIZE]]*InputData[[#This Row],[QUANTITY]]</f>
        <v>288</v>
      </c>
      <c r="M55" s="7">
        <f>InputData[[#This Row],[SELLING PRICE]]*InputData[[#This Row],[QUANTITY]]*(1-InputData[[#This Row],[DISCOUNT %]])</f>
        <v>342.72</v>
      </c>
      <c r="N55">
        <f>DAY(InputData[[#This Row],[DATE]])</f>
        <v>8</v>
      </c>
      <c r="O55" t="str">
        <f>TEXT(InputData[[#This Row],[DATE]],"mmm")</f>
        <v>Mar</v>
      </c>
      <c r="P55">
        <f>YEAR(InputData[[#This Row],[DATE]])</f>
        <v>2021</v>
      </c>
    </row>
    <row r="56" spans="1:16" x14ac:dyDescent="0.3">
      <c r="A56" s="3">
        <v>44263</v>
      </c>
      <c r="B56" s="4" t="s">
        <v>98</v>
      </c>
      <c r="C56" s="5">
        <v>9</v>
      </c>
      <c r="D56" s="5" t="s">
        <v>106</v>
      </c>
      <c r="E56" s="5" t="s">
        <v>106</v>
      </c>
      <c r="F56" s="6">
        <v>0</v>
      </c>
      <c r="G56" t="str">
        <f>VLOOKUP(InputData[[#This Row],[PRODUCT ID]],MasterData[],2,)</f>
        <v>Product44</v>
      </c>
      <c r="H56" t="str">
        <f>VLOOKUP(InputData[[#This Row],[PRODUCT ID]],MasterData[],3,)</f>
        <v>Category05</v>
      </c>
      <c r="I56" t="str">
        <f>VLOOKUP(InputData[[#This Row],[PRODUCT ID]],MasterData[],4,)</f>
        <v>Kg</v>
      </c>
      <c r="J56" s="7">
        <f>VLOOKUP(InputData[[#This Row],[PRODUCT ID]],MasterData[],5,)</f>
        <v>76</v>
      </c>
      <c r="K56" s="7">
        <f>VLOOKUP(InputData[[#This Row],[PRODUCT ID]],MasterData[],6,)</f>
        <v>82.08</v>
      </c>
      <c r="L56" s="7">
        <f>InputData[[#This Row],[BUYING PRIZE]]*InputData[[#This Row],[QUANTITY]]</f>
        <v>684</v>
      </c>
      <c r="M56" s="7">
        <f>InputData[[#This Row],[SELLING PRICE]]*InputData[[#This Row],[QUANTITY]]*(1-InputData[[#This Row],[DISCOUNT %]])</f>
        <v>738.72</v>
      </c>
      <c r="N56">
        <f>DAY(InputData[[#This Row],[DATE]])</f>
        <v>8</v>
      </c>
      <c r="O56" t="str">
        <f>TEXT(InputData[[#This Row],[DATE]],"mmm")</f>
        <v>Mar</v>
      </c>
      <c r="P56">
        <f>YEAR(InputData[[#This Row],[DATE]])</f>
        <v>2021</v>
      </c>
    </row>
    <row r="57" spans="1:16" x14ac:dyDescent="0.3">
      <c r="A57" s="3">
        <v>44264</v>
      </c>
      <c r="B57" s="4" t="s">
        <v>67</v>
      </c>
      <c r="C57" s="5">
        <v>6</v>
      </c>
      <c r="D57" s="5" t="s">
        <v>105</v>
      </c>
      <c r="E57" s="5" t="s">
        <v>106</v>
      </c>
      <c r="F57" s="6">
        <v>0</v>
      </c>
      <c r="G57" t="str">
        <f>VLOOKUP(InputData[[#This Row],[PRODUCT ID]],MasterData[],2,)</f>
        <v>Product29</v>
      </c>
      <c r="H57" t="str">
        <f>VLOOKUP(InputData[[#This Row],[PRODUCT ID]],MasterData[],3,)</f>
        <v>Category04</v>
      </c>
      <c r="I57" t="str">
        <f>VLOOKUP(InputData[[#This Row],[PRODUCT ID]],MasterData[],4,)</f>
        <v>Lt</v>
      </c>
      <c r="J57" s="7">
        <f>VLOOKUP(InputData[[#This Row],[PRODUCT ID]],MasterData[],5,)</f>
        <v>47</v>
      </c>
      <c r="K57" s="7">
        <f>VLOOKUP(InputData[[#This Row],[PRODUCT ID]],MasterData[],6,)</f>
        <v>53.11</v>
      </c>
      <c r="L57" s="7">
        <f>InputData[[#This Row],[BUYING PRIZE]]*InputData[[#This Row],[QUANTITY]]</f>
        <v>282</v>
      </c>
      <c r="M57" s="7">
        <f>InputData[[#This Row],[SELLING PRICE]]*InputData[[#This Row],[QUANTITY]]*(1-InputData[[#This Row],[DISCOUNT %]])</f>
        <v>318.65999999999997</v>
      </c>
      <c r="N57">
        <f>DAY(InputData[[#This Row],[DATE]])</f>
        <v>9</v>
      </c>
      <c r="O57" t="str">
        <f>TEXT(InputData[[#This Row],[DATE]],"mmm")</f>
        <v>Mar</v>
      </c>
      <c r="P57">
        <f>YEAR(InputData[[#This Row],[DATE]])</f>
        <v>2021</v>
      </c>
    </row>
    <row r="58" spans="1:16" x14ac:dyDescent="0.3">
      <c r="A58" s="3">
        <v>44266</v>
      </c>
      <c r="B58" s="4" t="s">
        <v>58</v>
      </c>
      <c r="C58" s="5">
        <v>11</v>
      </c>
      <c r="D58" s="5" t="s">
        <v>108</v>
      </c>
      <c r="E58" s="5" t="s">
        <v>107</v>
      </c>
      <c r="F58" s="6">
        <v>0</v>
      </c>
      <c r="G58" t="str">
        <f>VLOOKUP(InputData[[#This Row],[PRODUCT ID]],MasterData[],2,)</f>
        <v>Product25</v>
      </c>
      <c r="H58" t="str">
        <f>VLOOKUP(InputData[[#This Row],[PRODUCT ID]],MasterData[],3,)</f>
        <v>Category03</v>
      </c>
      <c r="I58" t="str">
        <f>VLOOKUP(InputData[[#This Row],[PRODUCT ID]],MasterData[],4,)</f>
        <v>No.</v>
      </c>
      <c r="J58" s="7">
        <f>VLOOKUP(InputData[[#This Row],[PRODUCT ID]],MasterData[],5,)</f>
        <v>7</v>
      </c>
      <c r="K58" s="7">
        <f>VLOOKUP(InputData[[#This Row],[PRODUCT ID]],MasterData[],6,)</f>
        <v>8.33</v>
      </c>
      <c r="L58" s="7">
        <f>InputData[[#This Row],[BUYING PRIZE]]*InputData[[#This Row],[QUANTITY]]</f>
        <v>77</v>
      </c>
      <c r="M58" s="7">
        <f>InputData[[#This Row],[SELLING PRICE]]*InputData[[#This Row],[QUANTITY]]*(1-InputData[[#This Row],[DISCOUNT %]])</f>
        <v>91.63</v>
      </c>
      <c r="N58">
        <f>DAY(InputData[[#This Row],[DATE]])</f>
        <v>11</v>
      </c>
      <c r="O58" t="str">
        <f>TEXT(InputData[[#This Row],[DATE]],"mmm")</f>
        <v>Mar</v>
      </c>
      <c r="P58">
        <f>YEAR(InputData[[#This Row],[DATE]])</f>
        <v>2021</v>
      </c>
    </row>
    <row r="59" spans="1:16" x14ac:dyDescent="0.3">
      <c r="A59" s="3">
        <v>44268</v>
      </c>
      <c r="B59" s="4" t="s">
        <v>65</v>
      </c>
      <c r="C59" s="5">
        <v>10</v>
      </c>
      <c r="D59" s="5" t="s">
        <v>105</v>
      </c>
      <c r="E59" s="5" t="s">
        <v>107</v>
      </c>
      <c r="F59" s="6">
        <v>0</v>
      </c>
      <c r="G59" t="str">
        <f>VLOOKUP(InputData[[#This Row],[PRODUCT ID]],MasterData[],2,)</f>
        <v>Product28</v>
      </c>
      <c r="H59" t="str">
        <f>VLOOKUP(InputData[[#This Row],[PRODUCT ID]],MasterData[],3,)</f>
        <v>Category04</v>
      </c>
      <c r="I59" t="str">
        <f>VLOOKUP(InputData[[#This Row],[PRODUCT ID]],MasterData[],4,)</f>
        <v>No.</v>
      </c>
      <c r="J59" s="7">
        <f>VLOOKUP(InputData[[#This Row],[PRODUCT ID]],MasterData[],5,)</f>
        <v>37</v>
      </c>
      <c r="K59" s="7">
        <f>VLOOKUP(InputData[[#This Row],[PRODUCT ID]],MasterData[],6,)</f>
        <v>41.81</v>
      </c>
      <c r="L59" s="7">
        <f>InputData[[#This Row],[BUYING PRIZE]]*InputData[[#This Row],[QUANTITY]]</f>
        <v>370</v>
      </c>
      <c r="M59" s="7">
        <f>InputData[[#This Row],[SELLING PRICE]]*InputData[[#This Row],[QUANTITY]]*(1-InputData[[#This Row],[DISCOUNT %]])</f>
        <v>418.1</v>
      </c>
      <c r="N59">
        <f>DAY(InputData[[#This Row],[DATE]])</f>
        <v>13</v>
      </c>
      <c r="O59" t="str">
        <f>TEXT(InputData[[#This Row],[DATE]],"mmm")</f>
        <v>Mar</v>
      </c>
      <c r="P59">
        <f>YEAR(InputData[[#This Row],[DATE]])</f>
        <v>2021</v>
      </c>
    </row>
    <row r="60" spans="1:16" x14ac:dyDescent="0.3">
      <c r="A60" s="3">
        <v>44270</v>
      </c>
      <c r="B60" s="4" t="s">
        <v>88</v>
      </c>
      <c r="C60" s="5">
        <v>11</v>
      </c>
      <c r="D60" s="5" t="s">
        <v>106</v>
      </c>
      <c r="E60" s="5" t="s">
        <v>107</v>
      </c>
      <c r="F60" s="6">
        <v>0</v>
      </c>
      <c r="G60" t="str">
        <f>VLOOKUP(InputData[[#This Row],[PRODUCT ID]],MasterData[],2,)</f>
        <v>Product39</v>
      </c>
      <c r="H60" t="str">
        <f>VLOOKUP(InputData[[#This Row],[PRODUCT ID]],MasterData[],3,)</f>
        <v>Category05</v>
      </c>
      <c r="I60" t="str">
        <f>VLOOKUP(InputData[[#This Row],[PRODUCT ID]],MasterData[],4,)</f>
        <v>No.</v>
      </c>
      <c r="J60" s="7">
        <f>VLOOKUP(InputData[[#This Row],[PRODUCT ID]],MasterData[],5,)</f>
        <v>37</v>
      </c>
      <c r="K60" s="7">
        <f>VLOOKUP(InputData[[#This Row],[PRODUCT ID]],MasterData[],6,)</f>
        <v>42.55</v>
      </c>
      <c r="L60" s="7">
        <f>InputData[[#This Row],[BUYING PRIZE]]*InputData[[#This Row],[QUANTITY]]</f>
        <v>407</v>
      </c>
      <c r="M60" s="7">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3">
      <c r="A61" s="3">
        <v>44271</v>
      </c>
      <c r="B61" s="4" t="s">
        <v>31</v>
      </c>
      <c r="C61" s="5">
        <v>14</v>
      </c>
      <c r="D61" s="5" t="s">
        <v>108</v>
      </c>
      <c r="E61" s="5" t="s">
        <v>107</v>
      </c>
      <c r="F61" s="6">
        <v>0</v>
      </c>
      <c r="G61" t="str">
        <f>VLOOKUP(InputData[[#This Row],[PRODUCT ID]],MasterData[],2,)</f>
        <v>Product12</v>
      </c>
      <c r="H61" t="str">
        <f>VLOOKUP(InputData[[#This Row],[PRODUCT ID]],MasterData[],3,)</f>
        <v>Category02</v>
      </c>
      <c r="I61" t="str">
        <f>VLOOKUP(InputData[[#This Row],[PRODUCT ID]],MasterData[],4,)</f>
        <v>Kg</v>
      </c>
      <c r="J61" s="7">
        <f>VLOOKUP(InputData[[#This Row],[PRODUCT ID]],MasterData[],5,)</f>
        <v>73</v>
      </c>
      <c r="K61" s="7">
        <f>VLOOKUP(InputData[[#This Row],[PRODUCT ID]],MasterData[],6,)</f>
        <v>94.17</v>
      </c>
      <c r="L61" s="7">
        <f>InputData[[#This Row],[BUYING PRIZE]]*InputData[[#This Row],[QUANTITY]]</f>
        <v>1022</v>
      </c>
      <c r="M61" s="7">
        <f>InputData[[#This Row],[SELLING PRICE]]*InputData[[#This Row],[QUANTITY]]*(1-InputData[[#This Row],[DISCOUNT %]])</f>
        <v>1318.38</v>
      </c>
      <c r="N61">
        <f>DAY(InputData[[#This Row],[DATE]])</f>
        <v>16</v>
      </c>
      <c r="O61" t="str">
        <f>TEXT(InputData[[#This Row],[DATE]],"mmm")</f>
        <v>Mar</v>
      </c>
      <c r="P61">
        <f>YEAR(InputData[[#This Row],[DATE]])</f>
        <v>2021</v>
      </c>
    </row>
    <row r="62" spans="1:16" x14ac:dyDescent="0.3">
      <c r="A62" s="3">
        <v>44273</v>
      </c>
      <c r="B62" s="4" t="s">
        <v>94</v>
      </c>
      <c r="C62" s="5">
        <v>8</v>
      </c>
      <c r="D62" s="5" t="s">
        <v>105</v>
      </c>
      <c r="E62" s="5" t="s">
        <v>107</v>
      </c>
      <c r="F62" s="6">
        <v>0</v>
      </c>
      <c r="G62" t="str">
        <f>VLOOKUP(InputData[[#This Row],[PRODUCT ID]],MasterData[],2,)</f>
        <v>Product42</v>
      </c>
      <c r="H62" t="str">
        <f>VLOOKUP(InputData[[#This Row],[PRODUCT ID]],MasterData[],3,)</f>
        <v>Category05</v>
      </c>
      <c r="I62" t="str">
        <f>VLOOKUP(InputData[[#This Row],[PRODUCT ID]],MasterData[],4,)</f>
        <v>Ft</v>
      </c>
      <c r="J62" s="7">
        <f>VLOOKUP(InputData[[#This Row],[PRODUCT ID]],MasterData[],5,)</f>
        <v>120</v>
      </c>
      <c r="K62" s="7">
        <f>VLOOKUP(InputData[[#This Row],[PRODUCT ID]],MasterData[],6,)</f>
        <v>162</v>
      </c>
      <c r="L62" s="7">
        <f>InputData[[#This Row],[BUYING PRIZE]]*InputData[[#This Row],[QUANTITY]]</f>
        <v>960</v>
      </c>
      <c r="M62" s="7">
        <f>InputData[[#This Row],[SELLING PRICE]]*InputData[[#This Row],[QUANTITY]]*(1-InputData[[#This Row],[DISCOUNT %]])</f>
        <v>1296</v>
      </c>
      <c r="N62">
        <f>DAY(InputData[[#This Row],[DATE]])</f>
        <v>18</v>
      </c>
      <c r="O62" t="str">
        <f>TEXT(InputData[[#This Row],[DATE]],"mmm")</f>
        <v>Mar</v>
      </c>
      <c r="P62">
        <f>YEAR(InputData[[#This Row],[DATE]])</f>
        <v>2021</v>
      </c>
    </row>
    <row r="63" spans="1:16" x14ac:dyDescent="0.3">
      <c r="A63" s="3">
        <v>44274</v>
      </c>
      <c r="B63" s="4" t="s">
        <v>65</v>
      </c>
      <c r="C63" s="5">
        <v>9</v>
      </c>
      <c r="D63" s="5" t="s">
        <v>106</v>
      </c>
      <c r="E63" s="5" t="s">
        <v>107</v>
      </c>
      <c r="F63" s="6">
        <v>0</v>
      </c>
      <c r="G63" t="str">
        <f>VLOOKUP(InputData[[#This Row],[PRODUCT ID]],MasterData[],2,)</f>
        <v>Product28</v>
      </c>
      <c r="H63" t="str">
        <f>VLOOKUP(InputData[[#This Row],[PRODUCT ID]],MasterData[],3,)</f>
        <v>Category04</v>
      </c>
      <c r="I63" t="str">
        <f>VLOOKUP(InputData[[#This Row],[PRODUCT ID]],MasterData[],4,)</f>
        <v>No.</v>
      </c>
      <c r="J63" s="7">
        <f>VLOOKUP(InputData[[#This Row],[PRODUCT ID]],MasterData[],5,)</f>
        <v>37</v>
      </c>
      <c r="K63" s="7">
        <f>VLOOKUP(InputData[[#This Row],[PRODUCT ID]],MasterData[],6,)</f>
        <v>41.81</v>
      </c>
      <c r="L63" s="7">
        <f>InputData[[#This Row],[BUYING PRIZE]]*InputData[[#This Row],[QUANTITY]]</f>
        <v>333</v>
      </c>
      <c r="M63" s="7">
        <f>InputData[[#This Row],[SELLING PRICE]]*InputData[[#This Row],[QUANTITY]]*(1-InputData[[#This Row],[DISCOUNT %]])</f>
        <v>376.29</v>
      </c>
      <c r="N63">
        <f>DAY(InputData[[#This Row],[DATE]])</f>
        <v>19</v>
      </c>
      <c r="O63" t="str">
        <f>TEXT(InputData[[#This Row],[DATE]],"mmm")</f>
        <v>Mar</v>
      </c>
      <c r="P63">
        <f>YEAR(InputData[[#This Row],[DATE]])</f>
        <v>2021</v>
      </c>
    </row>
    <row r="64" spans="1:16" x14ac:dyDescent="0.3">
      <c r="A64" s="3">
        <v>44276</v>
      </c>
      <c r="B64" s="4" t="s">
        <v>47</v>
      </c>
      <c r="C64" s="5">
        <v>13</v>
      </c>
      <c r="D64" s="5" t="s">
        <v>106</v>
      </c>
      <c r="E64" s="5" t="s">
        <v>106</v>
      </c>
      <c r="F64" s="6">
        <v>0</v>
      </c>
      <c r="G64" t="str">
        <f>VLOOKUP(InputData[[#This Row],[PRODUCT ID]],MasterData[],2,)</f>
        <v>Product20</v>
      </c>
      <c r="H64" t="str">
        <f>VLOOKUP(InputData[[#This Row],[PRODUCT ID]],MasterData[],3,)</f>
        <v>Category03</v>
      </c>
      <c r="I64" t="str">
        <f>VLOOKUP(InputData[[#This Row],[PRODUCT ID]],MasterData[],4,)</f>
        <v>Lt</v>
      </c>
      <c r="J64" s="7">
        <f>VLOOKUP(InputData[[#This Row],[PRODUCT ID]],MasterData[],5,)</f>
        <v>61</v>
      </c>
      <c r="K64" s="7">
        <f>VLOOKUP(InputData[[#This Row],[PRODUCT ID]],MasterData[],6,)</f>
        <v>76.25</v>
      </c>
      <c r="L64" s="7">
        <f>InputData[[#This Row],[BUYING PRIZE]]*InputData[[#This Row],[QUANTITY]]</f>
        <v>793</v>
      </c>
      <c r="M64" s="7">
        <f>InputData[[#This Row],[SELLING PRICE]]*InputData[[#This Row],[QUANTITY]]*(1-InputData[[#This Row],[DISCOUNT %]])</f>
        <v>991.25</v>
      </c>
      <c r="N64">
        <f>DAY(InputData[[#This Row],[DATE]])</f>
        <v>21</v>
      </c>
      <c r="O64" t="str">
        <f>TEXT(InputData[[#This Row],[DATE]],"mmm")</f>
        <v>Mar</v>
      </c>
      <c r="P64">
        <f>YEAR(InputData[[#This Row],[DATE]])</f>
        <v>2021</v>
      </c>
    </row>
    <row r="65" spans="1:16" x14ac:dyDescent="0.3">
      <c r="A65" s="3">
        <v>44276</v>
      </c>
      <c r="B65" s="4" t="s">
        <v>88</v>
      </c>
      <c r="C65" s="5">
        <v>7</v>
      </c>
      <c r="D65" s="5" t="s">
        <v>108</v>
      </c>
      <c r="E65" s="5" t="s">
        <v>106</v>
      </c>
      <c r="F65" s="6">
        <v>0</v>
      </c>
      <c r="G65" t="str">
        <f>VLOOKUP(InputData[[#This Row],[PRODUCT ID]],MasterData[],2,)</f>
        <v>Product39</v>
      </c>
      <c r="H65" t="str">
        <f>VLOOKUP(InputData[[#This Row],[PRODUCT ID]],MasterData[],3,)</f>
        <v>Category05</v>
      </c>
      <c r="I65" t="str">
        <f>VLOOKUP(InputData[[#This Row],[PRODUCT ID]],MasterData[],4,)</f>
        <v>No.</v>
      </c>
      <c r="J65" s="7">
        <f>VLOOKUP(InputData[[#This Row],[PRODUCT ID]],MasterData[],5,)</f>
        <v>37</v>
      </c>
      <c r="K65" s="7">
        <f>VLOOKUP(InputData[[#This Row],[PRODUCT ID]],MasterData[],6,)</f>
        <v>42.55</v>
      </c>
      <c r="L65" s="7">
        <f>InputData[[#This Row],[BUYING PRIZE]]*InputData[[#This Row],[QUANTITY]]</f>
        <v>259</v>
      </c>
      <c r="M65" s="7">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3">
      <c r="A66" s="3">
        <v>44277</v>
      </c>
      <c r="B66" s="4" t="s">
        <v>10</v>
      </c>
      <c r="C66" s="5">
        <v>8</v>
      </c>
      <c r="D66" s="5" t="s">
        <v>106</v>
      </c>
      <c r="E66" s="5" t="s">
        <v>106</v>
      </c>
      <c r="F66" s="6">
        <v>0</v>
      </c>
      <c r="G66" t="str">
        <f>VLOOKUP(InputData[[#This Row],[PRODUCT ID]],MasterData[],2,)</f>
        <v>Product02</v>
      </c>
      <c r="H66" t="str">
        <f>VLOOKUP(InputData[[#This Row],[PRODUCT ID]],MasterData[],3,)</f>
        <v>Category01</v>
      </c>
      <c r="I66" t="str">
        <f>VLOOKUP(InputData[[#This Row],[PRODUCT ID]],MasterData[],4,)</f>
        <v>Kg</v>
      </c>
      <c r="J66" s="7">
        <f>VLOOKUP(InputData[[#This Row],[PRODUCT ID]],MasterData[],5,)</f>
        <v>105</v>
      </c>
      <c r="K66" s="7">
        <f>VLOOKUP(InputData[[#This Row],[PRODUCT ID]],MasterData[],6,)</f>
        <v>142.80000000000001</v>
      </c>
      <c r="L66" s="7">
        <f>InputData[[#This Row],[BUYING PRIZE]]*InputData[[#This Row],[QUANTITY]]</f>
        <v>840</v>
      </c>
      <c r="M66" s="7">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3">
      <c r="A67" s="3">
        <v>44277</v>
      </c>
      <c r="B67" s="4" t="s">
        <v>31</v>
      </c>
      <c r="C67" s="5">
        <v>4</v>
      </c>
      <c r="D67" s="5" t="s">
        <v>106</v>
      </c>
      <c r="E67" s="5" t="s">
        <v>106</v>
      </c>
      <c r="F67" s="6">
        <v>0</v>
      </c>
      <c r="G67" t="str">
        <f>VLOOKUP(InputData[[#This Row],[PRODUCT ID]],MasterData[],2,)</f>
        <v>Product12</v>
      </c>
      <c r="H67" t="str">
        <f>VLOOKUP(InputData[[#This Row],[PRODUCT ID]],MasterData[],3,)</f>
        <v>Category02</v>
      </c>
      <c r="I67" t="str">
        <f>VLOOKUP(InputData[[#This Row],[PRODUCT ID]],MasterData[],4,)</f>
        <v>Kg</v>
      </c>
      <c r="J67" s="7">
        <f>VLOOKUP(InputData[[#This Row],[PRODUCT ID]],MasterData[],5,)</f>
        <v>73</v>
      </c>
      <c r="K67" s="7">
        <f>VLOOKUP(InputData[[#This Row],[PRODUCT ID]],MasterData[],6,)</f>
        <v>94.17</v>
      </c>
      <c r="L67" s="7">
        <f>InputData[[#This Row],[BUYING PRIZE]]*InputData[[#This Row],[QUANTITY]]</f>
        <v>292</v>
      </c>
      <c r="M67" s="7">
        <f>InputData[[#This Row],[SELLING PRICE]]*InputData[[#This Row],[QUANTITY]]*(1-InputData[[#This Row],[DISCOUNT %]])</f>
        <v>376.68</v>
      </c>
      <c r="N67">
        <f>DAY(InputData[[#This Row],[DATE]])</f>
        <v>22</v>
      </c>
      <c r="O67" t="str">
        <f>TEXT(InputData[[#This Row],[DATE]],"mmm")</f>
        <v>Mar</v>
      </c>
      <c r="P67">
        <f>YEAR(InputData[[#This Row],[DATE]])</f>
        <v>2021</v>
      </c>
    </row>
    <row r="68" spans="1:16" x14ac:dyDescent="0.3">
      <c r="A68" s="3">
        <v>44280</v>
      </c>
      <c r="B68" s="4" t="s">
        <v>56</v>
      </c>
      <c r="C68" s="5">
        <v>14</v>
      </c>
      <c r="D68" s="5" t="s">
        <v>106</v>
      </c>
      <c r="E68" s="5" t="s">
        <v>107</v>
      </c>
      <c r="F68" s="6">
        <v>0</v>
      </c>
      <c r="G68" t="str">
        <f>VLOOKUP(InputData[[#This Row],[PRODUCT ID]],MasterData[],2,)</f>
        <v>Product24</v>
      </c>
      <c r="H68" t="str">
        <f>VLOOKUP(InputData[[#This Row],[PRODUCT ID]],MasterData[],3,)</f>
        <v>Category03</v>
      </c>
      <c r="I68" t="str">
        <f>VLOOKUP(InputData[[#This Row],[PRODUCT ID]],MasterData[],4,)</f>
        <v>Ft</v>
      </c>
      <c r="J68" s="7">
        <f>VLOOKUP(InputData[[#This Row],[PRODUCT ID]],MasterData[],5,)</f>
        <v>144</v>
      </c>
      <c r="K68" s="7">
        <f>VLOOKUP(InputData[[#This Row],[PRODUCT ID]],MasterData[],6,)</f>
        <v>156.96</v>
      </c>
      <c r="L68" s="7">
        <f>InputData[[#This Row],[BUYING PRIZE]]*InputData[[#This Row],[QUANTITY]]</f>
        <v>2016</v>
      </c>
      <c r="M68" s="7">
        <f>InputData[[#This Row],[SELLING PRICE]]*InputData[[#This Row],[QUANTITY]]*(1-InputData[[#This Row],[DISCOUNT %]])</f>
        <v>2197.44</v>
      </c>
      <c r="N68">
        <f>DAY(InputData[[#This Row],[DATE]])</f>
        <v>25</v>
      </c>
      <c r="O68" t="str">
        <f>TEXT(InputData[[#This Row],[DATE]],"mmm")</f>
        <v>Mar</v>
      </c>
      <c r="P68">
        <f>YEAR(InputData[[#This Row],[DATE]])</f>
        <v>2021</v>
      </c>
    </row>
    <row r="69" spans="1:16" x14ac:dyDescent="0.3">
      <c r="A69" s="3">
        <v>44280</v>
      </c>
      <c r="B69" s="4" t="s">
        <v>18</v>
      </c>
      <c r="C69" s="5">
        <v>4</v>
      </c>
      <c r="D69" s="5" t="s">
        <v>108</v>
      </c>
      <c r="E69" s="5" t="s">
        <v>107</v>
      </c>
      <c r="F69" s="6">
        <v>0</v>
      </c>
      <c r="G69" t="str">
        <f>VLOOKUP(InputData[[#This Row],[PRODUCT ID]],MasterData[],2,)</f>
        <v>Product06</v>
      </c>
      <c r="H69" t="str">
        <f>VLOOKUP(InputData[[#This Row],[PRODUCT ID]],MasterData[],3,)</f>
        <v>Category01</v>
      </c>
      <c r="I69" t="str">
        <f>VLOOKUP(InputData[[#This Row],[PRODUCT ID]],MasterData[],4,)</f>
        <v>Kg</v>
      </c>
      <c r="J69" s="7">
        <f>VLOOKUP(InputData[[#This Row],[PRODUCT ID]],MasterData[],5,)</f>
        <v>75</v>
      </c>
      <c r="K69" s="7">
        <f>VLOOKUP(InputData[[#This Row],[PRODUCT ID]],MasterData[],6,)</f>
        <v>85.5</v>
      </c>
      <c r="L69" s="7">
        <f>InputData[[#This Row],[BUYING PRIZE]]*InputData[[#This Row],[QUANTITY]]</f>
        <v>300</v>
      </c>
      <c r="M69" s="7">
        <f>InputData[[#This Row],[SELLING PRICE]]*InputData[[#This Row],[QUANTITY]]*(1-InputData[[#This Row],[DISCOUNT %]])</f>
        <v>342</v>
      </c>
      <c r="N69">
        <f>DAY(InputData[[#This Row],[DATE]])</f>
        <v>25</v>
      </c>
      <c r="O69" t="str">
        <f>TEXT(InputData[[#This Row],[DATE]],"mmm")</f>
        <v>Mar</v>
      </c>
      <c r="P69">
        <f>YEAR(InputData[[#This Row],[DATE]])</f>
        <v>2021</v>
      </c>
    </row>
    <row r="70" spans="1:16" x14ac:dyDescent="0.3">
      <c r="A70" s="3">
        <v>44280</v>
      </c>
      <c r="B70" s="4" t="s">
        <v>67</v>
      </c>
      <c r="C70" s="5">
        <v>8</v>
      </c>
      <c r="D70" s="5" t="s">
        <v>108</v>
      </c>
      <c r="E70" s="5" t="s">
        <v>107</v>
      </c>
      <c r="F70" s="6">
        <v>0</v>
      </c>
      <c r="G70" t="str">
        <f>VLOOKUP(InputData[[#This Row],[PRODUCT ID]],MasterData[],2,)</f>
        <v>Product29</v>
      </c>
      <c r="H70" t="str">
        <f>VLOOKUP(InputData[[#This Row],[PRODUCT ID]],MasterData[],3,)</f>
        <v>Category04</v>
      </c>
      <c r="I70" t="str">
        <f>VLOOKUP(InputData[[#This Row],[PRODUCT ID]],MasterData[],4,)</f>
        <v>Lt</v>
      </c>
      <c r="J70" s="7">
        <f>VLOOKUP(InputData[[#This Row],[PRODUCT ID]],MasterData[],5,)</f>
        <v>47</v>
      </c>
      <c r="K70" s="7">
        <f>VLOOKUP(InputData[[#This Row],[PRODUCT ID]],MasterData[],6,)</f>
        <v>53.11</v>
      </c>
      <c r="L70" s="7">
        <f>InputData[[#This Row],[BUYING PRIZE]]*InputData[[#This Row],[QUANTITY]]</f>
        <v>376</v>
      </c>
      <c r="M70" s="7">
        <f>InputData[[#This Row],[SELLING PRICE]]*InputData[[#This Row],[QUANTITY]]*(1-InputData[[#This Row],[DISCOUNT %]])</f>
        <v>424.88</v>
      </c>
      <c r="N70">
        <f>DAY(InputData[[#This Row],[DATE]])</f>
        <v>25</v>
      </c>
      <c r="O70" t="str">
        <f>TEXT(InputData[[#This Row],[DATE]],"mmm")</f>
        <v>Mar</v>
      </c>
      <c r="P70">
        <f>YEAR(InputData[[#This Row],[DATE]])</f>
        <v>2021</v>
      </c>
    </row>
    <row r="71" spans="1:16" x14ac:dyDescent="0.3">
      <c r="A71" s="3">
        <v>44280</v>
      </c>
      <c r="B71" s="4" t="s">
        <v>86</v>
      </c>
      <c r="C71" s="5">
        <v>2</v>
      </c>
      <c r="D71" s="5" t="s">
        <v>108</v>
      </c>
      <c r="E71" s="5" t="s">
        <v>106</v>
      </c>
      <c r="F71" s="6">
        <v>0</v>
      </c>
      <c r="G71" t="str">
        <f>VLOOKUP(InputData[[#This Row],[PRODUCT ID]],MasterData[],2,)</f>
        <v>Product38</v>
      </c>
      <c r="H71" t="str">
        <f>VLOOKUP(InputData[[#This Row],[PRODUCT ID]],MasterData[],3,)</f>
        <v>Category05</v>
      </c>
      <c r="I71" t="str">
        <f>VLOOKUP(InputData[[#This Row],[PRODUCT ID]],MasterData[],4,)</f>
        <v>Kg</v>
      </c>
      <c r="J71" s="7">
        <f>VLOOKUP(InputData[[#This Row],[PRODUCT ID]],MasterData[],5,)</f>
        <v>72</v>
      </c>
      <c r="K71" s="7">
        <f>VLOOKUP(InputData[[#This Row],[PRODUCT ID]],MasterData[],6,)</f>
        <v>79.92</v>
      </c>
      <c r="L71" s="7">
        <f>InputData[[#This Row],[BUYING PRIZE]]*InputData[[#This Row],[QUANTITY]]</f>
        <v>144</v>
      </c>
      <c r="M71" s="7">
        <f>InputData[[#This Row],[SELLING PRICE]]*InputData[[#This Row],[QUANTITY]]*(1-InputData[[#This Row],[DISCOUNT %]])</f>
        <v>159.84</v>
      </c>
      <c r="N71">
        <f>DAY(InputData[[#This Row],[DATE]])</f>
        <v>25</v>
      </c>
      <c r="O71" t="str">
        <f>TEXT(InputData[[#This Row],[DATE]],"mmm")</f>
        <v>Mar</v>
      </c>
      <c r="P71">
        <f>YEAR(InputData[[#This Row],[DATE]])</f>
        <v>2021</v>
      </c>
    </row>
    <row r="72" spans="1:16" x14ac:dyDescent="0.3">
      <c r="A72" s="3">
        <v>44281</v>
      </c>
      <c r="B72" s="4" t="s">
        <v>6</v>
      </c>
      <c r="C72" s="5">
        <v>4</v>
      </c>
      <c r="D72" s="5" t="s">
        <v>108</v>
      </c>
      <c r="E72" s="5" t="s">
        <v>107</v>
      </c>
      <c r="F72" s="6">
        <v>0</v>
      </c>
      <c r="G72" t="str">
        <f>VLOOKUP(InputData[[#This Row],[PRODUCT ID]],MasterData[],2,)</f>
        <v>Product01</v>
      </c>
      <c r="H72" t="str">
        <f>VLOOKUP(InputData[[#This Row],[PRODUCT ID]],MasterData[],3,)</f>
        <v>Category01</v>
      </c>
      <c r="I72" t="str">
        <f>VLOOKUP(InputData[[#This Row],[PRODUCT ID]],MasterData[],4,)</f>
        <v>Kg</v>
      </c>
      <c r="J72" s="7">
        <f>VLOOKUP(InputData[[#This Row],[PRODUCT ID]],MasterData[],5,)</f>
        <v>98</v>
      </c>
      <c r="K72" s="7">
        <f>VLOOKUP(InputData[[#This Row],[PRODUCT ID]],MasterData[],6,)</f>
        <v>103.88</v>
      </c>
      <c r="L72" s="7">
        <f>InputData[[#This Row],[BUYING PRIZE]]*InputData[[#This Row],[QUANTITY]]</f>
        <v>392</v>
      </c>
      <c r="M72" s="7">
        <f>InputData[[#This Row],[SELLING PRICE]]*InputData[[#This Row],[QUANTITY]]*(1-InputData[[#This Row],[DISCOUNT %]])</f>
        <v>415.52</v>
      </c>
      <c r="N72">
        <f>DAY(InputData[[#This Row],[DATE]])</f>
        <v>26</v>
      </c>
      <c r="O72" t="str">
        <f>TEXT(InputData[[#This Row],[DATE]],"mmm")</f>
        <v>Mar</v>
      </c>
      <c r="P72">
        <f>YEAR(InputData[[#This Row],[DATE]])</f>
        <v>2021</v>
      </c>
    </row>
    <row r="73" spans="1:16" x14ac:dyDescent="0.3">
      <c r="A73" s="3">
        <v>44281</v>
      </c>
      <c r="B73" s="4" t="s">
        <v>94</v>
      </c>
      <c r="C73" s="5">
        <v>1</v>
      </c>
      <c r="D73" s="5" t="s">
        <v>108</v>
      </c>
      <c r="E73" s="5" t="s">
        <v>107</v>
      </c>
      <c r="F73" s="6">
        <v>0</v>
      </c>
      <c r="G73" t="str">
        <f>VLOOKUP(InputData[[#This Row],[PRODUCT ID]],MasterData[],2,)</f>
        <v>Product42</v>
      </c>
      <c r="H73" t="str">
        <f>VLOOKUP(InputData[[#This Row],[PRODUCT ID]],MasterData[],3,)</f>
        <v>Category05</v>
      </c>
      <c r="I73" t="str">
        <f>VLOOKUP(InputData[[#This Row],[PRODUCT ID]],MasterData[],4,)</f>
        <v>Ft</v>
      </c>
      <c r="J73" s="7">
        <f>VLOOKUP(InputData[[#This Row],[PRODUCT ID]],MasterData[],5,)</f>
        <v>120</v>
      </c>
      <c r="K73" s="7">
        <f>VLOOKUP(InputData[[#This Row],[PRODUCT ID]],MasterData[],6,)</f>
        <v>162</v>
      </c>
      <c r="L73" s="7">
        <f>InputData[[#This Row],[BUYING PRIZE]]*InputData[[#This Row],[QUANTITY]]</f>
        <v>120</v>
      </c>
      <c r="M73" s="7">
        <f>InputData[[#This Row],[SELLING PRICE]]*InputData[[#This Row],[QUANTITY]]*(1-InputData[[#This Row],[DISCOUNT %]])</f>
        <v>162</v>
      </c>
      <c r="N73">
        <f>DAY(InputData[[#This Row],[DATE]])</f>
        <v>26</v>
      </c>
      <c r="O73" t="str">
        <f>TEXT(InputData[[#This Row],[DATE]],"mmm")</f>
        <v>Mar</v>
      </c>
      <c r="P73">
        <f>YEAR(InputData[[#This Row],[DATE]])</f>
        <v>2021</v>
      </c>
    </row>
    <row r="74" spans="1:16" x14ac:dyDescent="0.3">
      <c r="A74" s="3">
        <v>44281</v>
      </c>
      <c r="B74" s="4" t="s">
        <v>26</v>
      </c>
      <c r="C74" s="5">
        <v>9</v>
      </c>
      <c r="D74" s="5" t="s">
        <v>108</v>
      </c>
      <c r="E74" s="5" t="s">
        <v>106</v>
      </c>
      <c r="F74" s="6">
        <v>0</v>
      </c>
      <c r="G74" t="str">
        <f>VLOOKUP(InputData[[#This Row],[PRODUCT ID]],MasterData[],2,)</f>
        <v>Product10</v>
      </c>
      <c r="H74" t="str">
        <f>VLOOKUP(InputData[[#This Row],[PRODUCT ID]],MasterData[],3,)</f>
        <v>Category02</v>
      </c>
      <c r="I74" t="str">
        <f>VLOOKUP(InputData[[#This Row],[PRODUCT ID]],MasterData[],4,)</f>
        <v>Ft</v>
      </c>
      <c r="J74" s="7">
        <f>VLOOKUP(InputData[[#This Row],[PRODUCT ID]],MasterData[],5,)</f>
        <v>148</v>
      </c>
      <c r="K74" s="7">
        <f>VLOOKUP(InputData[[#This Row],[PRODUCT ID]],MasterData[],6,)</f>
        <v>164.28</v>
      </c>
      <c r="L74" s="7">
        <f>InputData[[#This Row],[BUYING PRIZE]]*InputData[[#This Row],[QUANTITY]]</f>
        <v>1332</v>
      </c>
      <c r="M74" s="7">
        <f>InputData[[#This Row],[SELLING PRICE]]*InputData[[#This Row],[QUANTITY]]*(1-InputData[[#This Row],[DISCOUNT %]])</f>
        <v>1478.52</v>
      </c>
      <c r="N74">
        <f>DAY(InputData[[#This Row],[DATE]])</f>
        <v>26</v>
      </c>
      <c r="O74" t="str">
        <f>TEXT(InputData[[#This Row],[DATE]],"mmm")</f>
        <v>Mar</v>
      </c>
      <c r="P74">
        <f>YEAR(InputData[[#This Row],[DATE]])</f>
        <v>2021</v>
      </c>
    </row>
    <row r="75" spans="1:16" x14ac:dyDescent="0.3">
      <c r="A75" s="3">
        <v>44282</v>
      </c>
      <c r="B75" s="4" t="s">
        <v>69</v>
      </c>
      <c r="C75" s="5">
        <v>3</v>
      </c>
      <c r="D75" s="5" t="s">
        <v>108</v>
      </c>
      <c r="E75" s="5" t="s">
        <v>106</v>
      </c>
      <c r="F75" s="6">
        <v>0</v>
      </c>
      <c r="G75" t="str">
        <f>VLOOKUP(InputData[[#This Row],[PRODUCT ID]],MasterData[],2,)</f>
        <v>Product30</v>
      </c>
      <c r="H75" t="str">
        <f>VLOOKUP(InputData[[#This Row],[PRODUCT ID]],MasterData[],3,)</f>
        <v>Category04</v>
      </c>
      <c r="I75" t="str">
        <f>VLOOKUP(InputData[[#This Row],[PRODUCT ID]],MasterData[],4,)</f>
        <v>Ft</v>
      </c>
      <c r="J75" s="7">
        <f>VLOOKUP(InputData[[#This Row],[PRODUCT ID]],MasterData[],5,)</f>
        <v>148</v>
      </c>
      <c r="K75" s="7">
        <f>VLOOKUP(InputData[[#This Row],[PRODUCT ID]],MasterData[],6,)</f>
        <v>201.28</v>
      </c>
      <c r="L75" s="7">
        <f>InputData[[#This Row],[BUYING PRIZE]]*InputData[[#This Row],[QUANTITY]]</f>
        <v>444</v>
      </c>
      <c r="M75" s="7">
        <f>InputData[[#This Row],[SELLING PRICE]]*InputData[[#This Row],[QUANTITY]]*(1-InputData[[#This Row],[DISCOUNT %]])</f>
        <v>603.84</v>
      </c>
      <c r="N75">
        <f>DAY(InputData[[#This Row],[DATE]])</f>
        <v>27</v>
      </c>
      <c r="O75" t="str">
        <f>TEXT(InputData[[#This Row],[DATE]],"mmm")</f>
        <v>Mar</v>
      </c>
      <c r="P75">
        <f>YEAR(InputData[[#This Row],[DATE]])</f>
        <v>2021</v>
      </c>
    </row>
    <row r="76" spans="1:16" x14ac:dyDescent="0.3">
      <c r="A76" s="3">
        <v>44283</v>
      </c>
      <c r="B76" s="4" t="s">
        <v>20</v>
      </c>
      <c r="C76" s="5">
        <v>8</v>
      </c>
      <c r="D76" s="5" t="s">
        <v>106</v>
      </c>
      <c r="E76" s="5" t="s">
        <v>107</v>
      </c>
      <c r="F76" s="6">
        <v>0</v>
      </c>
      <c r="G76" t="str">
        <f>VLOOKUP(InputData[[#This Row],[PRODUCT ID]],MasterData[],2,)</f>
        <v>Product07</v>
      </c>
      <c r="H76" t="str">
        <f>VLOOKUP(InputData[[#This Row],[PRODUCT ID]],MasterData[],3,)</f>
        <v>Category01</v>
      </c>
      <c r="I76" t="str">
        <f>VLOOKUP(InputData[[#This Row],[PRODUCT ID]],MasterData[],4,)</f>
        <v>Lt</v>
      </c>
      <c r="J76" s="7">
        <f>VLOOKUP(InputData[[#This Row],[PRODUCT ID]],MasterData[],5,)</f>
        <v>43</v>
      </c>
      <c r="K76" s="7">
        <f>VLOOKUP(InputData[[#This Row],[PRODUCT ID]],MasterData[],6,)</f>
        <v>47.730000000000004</v>
      </c>
      <c r="L76" s="7">
        <f>InputData[[#This Row],[BUYING PRIZE]]*InputData[[#This Row],[QUANTITY]]</f>
        <v>344</v>
      </c>
      <c r="M76" s="7">
        <f>InputData[[#This Row],[SELLING PRICE]]*InputData[[#This Row],[QUANTITY]]*(1-InputData[[#This Row],[DISCOUNT %]])</f>
        <v>381.84000000000003</v>
      </c>
      <c r="N76">
        <f>DAY(InputData[[#This Row],[DATE]])</f>
        <v>28</v>
      </c>
      <c r="O76" t="str">
        <f>TEXT(InputData[[#This Row],[DATE]],"mmm")</f>
        <v>Mar</v>
      </c>
      <c r="P76">
        <f>YEAR(InputData[[#This Row],[DATE]])</f>
        <v>2021</v>
      </c>
    </row>
    <row r="77" spans="1:16" x14ac:dyDescent="0.3">
      <c r="A77" s="3">
        <v>44285</v>
      </c>
      <c r="B77" s="4" t="s">
        <v>86</v>
      </c>
      <c r="C77" s="5">
        <v>1</v>
      </c>
      <c r="D77" s="5" t="s">
        <v>106</v>
      </c>
      <c r="E77" s="5" t="s">
        <v>107</v>
      </c>
      <c r="F77" s="6">
        <v>0</v>
      </c>
      <c r="G77" t="str">
        <f>VLOOKUP(InputData[[#This Row],[PRODUCT ID]],MasterData[],2,)</f>
        <v>Product38</v>
      </c>
      <c r="H77" t="str">
        <f>VLOOKUP(InputData[[#This Row],[PRODUCT ID]],MasterData[],3,)</f>
        <v>Category05</v>
      </c>
      <c r="I77" t="str">
        <f>VLOOKUP(InputData[[#This Row],[PRODUCT ID]],MasterData[],4,)</f>
        <v>Kg</v>
      </c>
      <c r="J77" s="7">
        <f>VLOOKUP(InputData[[#This Row],[PRODUCT ID]],MasterData[],5,)</f>
        <v>72</v>
      </c>
      <c r="K77" s="7">
        <f>VLOOKUP(InputData[[#This Row],[PRODUCT ID]],MasterData[],6,)</f>
        <v>79.92</v>
      </c>
      <c r="L77" s="7">
        <f>InputData[[#This Row],[BUYING PRIZE]]*InputData[[#This Row],[QUANTITY]]</f>
        <v>72</v>
      </c>
      <c r="M77" s="7">
        <f>InputData[[#This Row],[SELLING PRICE]]*InputData[[#This Row],[QUANTITY]]*(1-InputData[[#This Row],[DISCOUNT %]])</f>
        <v>79.92</v>
      </c>
      <c r="N77">
        <f>DAY(InputData[[#This Row],[DATE]])</f>
        <v>30</v>
      </c>
      <c r="O77" t="str">
        <f>TEXT(InputData[[#This Row],[DATE]],"mmm")</f>
        <v>Mar</v>
      </c>
      <c r="P77">
        <f>YEAR(InputData[[#This Row],[DATE]])</f>
        <v>2021</v>
      </c>
    </row>
    <row r="78" spans="1:16" x14ac:dyDescent="0.3">
      <c r="A78" s="3">
        <v>44286</v>
      </c>
      <c r="B78" s="4" t="s">
        <v>94</v>
      </c>
      <c r="C78" s="5">
        <v>3</v>
      </c>
      <c r="D78" s="5" t="s">
        <v>108</v>
      </c>
      <c r="E78" s="5" t="s">
        <v>107</v>
      </c>
      <c r="F78" s="6">
        <v>0</v>
      </c>
      <c r="G78" t="str">
        <f>VLOOKUP(InputData[[#This Row],[PRODUCT ID]],MasterData[],2,)</f>
        <v>Product42</v>
      </c>
      <c r="H78" t="str">
        <f>VLOOKUP(InputData[[#This Row],[PRODUCT ID]],MasterData[],3,)</f>
        <v>Category05</v>
      </c>
      <c r="I78" t="str">
        <f>VLOOKUP(InputData[[#This Row],[PRODUCT ID]],MasterData[],4,)</f>
        <v>Ft</v>
      </c>
      <c r="J78" s="7">
        <f>VLOOKUP(InputData[[#This Row],[PRODUCT ID]],MasterData[],5,)</f>
        <v>120</v>
      </c>
      <c r="K78" s="7">
        <f>VLOOKUP(InputData[[#This Row],[PRODUCT ID]],MasterData[],6,)</f>
        <v>162</v>
      </c>
      <c r="L78" s="7">
        <f>InputData[[#This Row],[BUYING PRIZE]]*InputData[[#This Row],[QUANTITY]]</f>
        <v>360</v>
      </c>
      <c r="M78" s="7">
        <f>InputData[[#This Row],[SELLING PRICE]]*InputData[[#This Row],[QUANTITY]]*(1-InputData[[#This Row],[DISCOUNT %]])</f>
        <v>486</v>
      </c>
      <c r="N78">
        <f>DAY(InputData[[#This Row],[DATE]])</f>
        <v>31</v>
      </c>
      <c r="O78" t="str">
        <f>TEXT(InputData[[#This Row],[DATE]],"mmm")</f>
        <v>Mar</v>
      </c>
      <c r="P78">
        <f>YEAR(InputData[[#This Row],[DATE]])</f>
        <v>2021</v>
      </c>
    </row>
    <row r="79" spans="1:16" x14ac:dyDescent="0.3">
      <c r="A79" s="3">
        <v>44290</v>
      </c>
      <c r="B79" s="4" t="s">
        <v>90</v>
      </c>
      <c r="C79" s="5">
        <v>4</v>
      </c>
      <c r="D79" s="5" t="s">
        <v>108</v>
      </c>
      <c r="E79" s="5" t="s">
        <v>107</v>
      </c>
      <c r="F79" s="6">
        <v>0</v>
      </c>
      <c r="G79" t="str">
        <f>VLOOKUP(InputData[[#This Row],[PRODUCT ID]],MasterData[],2,)</f>
        <v>Product40</v>
      </c>
      <c r="H79" t="str">
        <f>VLOOKUP(InputData[[#This Row],[PRODUCT ID]],MasterData[],3,)</f>
        <v>Category05</v>
      </c>
      <c r="I79" t="str">
        <f>VLOOKUP(InputData[[#This Row],[PRODUCT ID]],MasterData[],4,)</f>
        <v>Kg</v>
      </c>
      <c r="J79" s="7">
        <f>VLOOKUP(InputData[[#This Row],[PRODUCT ID]],MasterData[],5,)</f>
        <v>90</v>
      </c>
      <c r="K79" s="7">
        <f>VLOOKUP(InputData[[#This Row],[PRODUCT ID]],MasterData[],6,)</f>
        <v>115.2</v>
      </c>
      <c r="L79" s="7">
        <f>InputData[[#This Row],[BUYING PRIZE]]*InputData[[#This Row],[QUANTITY]]</f>
        <v>360</v>
      </c>
      <c r="M79" s="7">
        <f>InputData[[#This Row],[SELLING PRICE]]*InputData[[#This Row],[QUANTITY]]*(1-InputData[[#This Row],[DISCOUNT %]])</f>
        <v>460.8</v>
      </c>
      <c r="N79">
        <f>DAY(InputData[[#This Row],[DATE]])</f>
        <v>4</v>
      </c>
      <c r="O79" t="str">
        <f>TEXT(InputData[[#This Row],[DATE]],"mmm")</f>
        <v>Apr</v>
      </c>
      <c r="P79">
        <f>YEAR(InputData[[#This Row],[DATE]])</f>
        <v>2021</v>
      </c>
    </row>
    <row r="80" spans="1:16" x14ac:dyDescent="0.3">
      <c r="A80" s="3">
        <v>44290</v>
      </c>
      <c r="B80" s="4" t="s">
        <v>24</v>
      </c>
      <c r="C80" s="5">
        <v>9</v>
      </c>
      <c r="D80" s="5" t="s">
        <v>106</v>
      </c>
      <c r="E80" s="5" t="s">
        <v>107</v>
      </c>
      <c r="F80" s="6">
        <v>0</v>
      </c>
      <c r="G80" t="str">
        <f>VLOOKUP(InputData[[#This Row],[PRODUCT ID]],MasterData[],2,)</f>
        <v>Product09</v>
      </c>
      <c r="H80" t="str">
        <f>VLOOKUP(InputData[[#This Row],[PRODUCT ID]],MasterData[],3,)</f>
        <v>Category01</v>
      </c>
      <c r="I80" t="str">
        <f>VLOOKUP(InputData[[#This Row],[PRODUCT ID]],MasterData[],4,)</f>
        <v>No.</v>
      </c>
      <c r="J80" s="7">
        <f>VLOOKUP(InputData[[#This Row],[PRODUCT ID]],MasterData[],5,)</f>
        <v>6</v>
      </c>
      <c r="K80" s="7">
        <f>VLOOKUP(InputData[[#This Row],[PRODUCT ID]],MasterData[],6,)</f>
        <v>7.8599999999999994</v>
      </c>
      <c r="L80" s="7">
        <f>InputData[[#This Row],[BUYING PRIZE]]*InputData[[#This Row],[QUANTITY]]</f>
        <v>54</v>
      </c>
      <c r="M80" s="7">
        <f>InputData[[#This Row],[SELLING PRICE]]*InputData[[#This Row],[QUANTITY]]*(1-InputData[[#This Row],[DISCOUNT %]])</f>
        <v>70.739999999999995</v>
      </c>
      <c r="N80">
        <f>DAY(InputData[[#This Row],[DATE]])</f>
        <v>4</v>
      </c>
      <c r="O80" t="str">
        <f>TEXT(InputData[[#This Row],[DATE]],"mmm")</f>
        <v>Apr</v>
      </c>
      <c r="P80">
        <f>YEAR(InputData[[#This Row],[DATE]])</f>
        <v>2021</v>
      </c>
    </row>
    <row r="81" spans="1:16" x14ac:dyDescent="0.3">
      <c r="A81" s="3">
        <v>44291</v>
      </c>
      <c r="B81" s="4" t="s">
        <v>71</v>
      </c>
      <c r="C81" s="5">
        <v>15</v>
      </c>
      <c r="D81" s="5" t="s">
        <v>106</v>
      </c>
      <c r="E81" s="5" t="s">
        <v>106</v>
      </c>
      <c r="F81" s="6">
        <v>0</v>
      </c>
      <c r="G81" t="str">
        <f>VLOOKUP(InputData[[#This Row],[PRODUCT ID]],MasterData[],2,)</f>
        <v>Product31</v>
      </c>
      <c r="H81" t="str">
        <f>VLOOKUP(InputData[[#This Row],[PRODUCT ID]],MasterData[],3,)</f>
        <v>Category04</v>
      </c>
      <c r="I81" t="str">
        <f>VLOOKUP(InputData[[#This Row],[PRODUCT ID]],MasterData[],4,)</f>
        <v>Kg</v>
      </c>
      <c r="J81" s="7">
        <f>VLOOKUP(InputData[[#This Row],[PRODUCT ID]],MasterData[],5,)</f>
        <v>93</v>
      </c>
      <c r="K81" s="7">
        <f>VLOOKUP(InputData[[#This Row],[PRODUCT ID]],MasterData[],6,)</f>
        <v>104.16</v>
      </c>
      <c r="L81" s="7">
        <f>InputData[[#This Row],[BUYING PRIZE]]*InputData[[#This Row],[QUANTITY]]</f>
        <v>1395</v>
      </c>
      <c r="M81" s="7">
        <f>InputData[[#This Row],[SELLING PRICE]]*InputData[[#This Row],[QUANTITY]]*(1-InputData[[#This Row],[DISCOUNT %]])</f>
        <v>1562.3999999999999</v>
      </c>
      <c r="N81">
        <f>DAY(InputData[[#This Row],[DATE]])</f>
        <v>5</v>
      </c>
      <c r="O81" t="str">
        <f>TEXT(InputData[[#This Row],[DATE]],"mmm")</f>
        <v>Apr</v>
      </c>
      <c r="P81">
        <f>YEAR(InputData[[#This Row],[DATE]])</f>
        <v>2021</v>
      </c>
    </row>
    <row r="82" spans="1:16" x14ac:dyDescent="0.3">
      <c r="A82" s="3">
        <v>44295</v>
      </c>
      <c r="B82" s="4" t="s">
        <v>16</v>
      </c>
      <c r="C82" s="5">
        <v>3</v>
      </c>
      <c r="D82" s="5" t="s">
        <v>106</v>
      </c>
      <c r="E82" s="5" t="s">
        <v>106</v>
      </c>
      <c r="F82" s="6">
        <v>0</v>
      </c>
      <c r="G82" t="str">
        <f>VLOOKUP(InputData[[#This Row],[PRODUCT ID]],MasterData[],2,)</f>
        <v>Product05</v>
      </c>
      <c r="H82" t="str">
        <f>VLOOKUP(InputData[[#This Row],[PRODUCT ID]],MasterData[],3,)</f>
        <v>Category01</v>
      </c>
      <c r="I82" t="str">
        <f>VLOOKUP(InputData[[#This Row],[PRODUCT ID]],MasterData[],4,)</f>
        <v>Ft</v>
      </c>
      <c r="J82" s="7">
        <f>VLOOKUP(InputData[[#This Row],[PRODUCT ID]],MasterData[],5,)</f>
        <v>133</v>
      </c>
      <c r="K82" s="7">
        <f>VLOOKUP(InputData[[#This Row],[PRODUCT ID]],MasterData[],6,)</f>
        <v>155.61000000000001</v>
      </c>
      <c r="L82" s="7">
        <f>InputData[[#This Row],[BUYING PRIZE]]*InputData[[#This Row],[QUANTITY]]</f>
        <v>399</v>
      </c>
      <c r="M82" s="7">
        <f>InputData[[#This Row],[SELLING PRICE]]*InputData[[#This Row],[QUANTITY]]*(1-InputData[[#This Row],[DISCOUNT %]])</f>
        <v>466.83000000000004</v>
      </c>
      <c r="N82">
        <f>DAY(InputData[[#This Row],[DATE]])</f>
        <v>9</v>
      </c>
      <c r="O82" t="str">
        <f>TEXT(InputData[[#This Row],[DATE]],"mmm")</f>
        <v>Apr</v>
      </c>
      <c r="P82">
        <f>YEAR(InputData[[#This Row],[DATE]])</f>
        <v>2021</v>
      </c>
    </row>
    <row r="83" spans="1:16" x14ac:dyDescent="0.3">
      <c r="A83" s="3">
        <v>44296</v>
      </c>
      <c r="B83" s="4" t="s">
        <v>52</v>
      </c>
      <c r="C83" s="5">
        <v>14</v>
      </c>
      <c r="D83" s="5" t="s">
        <v>108</v>
      </c>
      <c r="E83" s="5" t="s">
        <v>106</v>
      </c>
      <c r="F83" s="6">
        <v>0</v>
      </c>
      <c r="G83" t="str">
        <f>VLOOKUP(InputData[[#This Row],[PRODUCT ID]],MasterData[],2,)</f>
        <v>Product22</v>
      </c>
      <c r="H83" t="str">
        <f>VLOOKUP(InputData[[#This Row],[PRODUCT ID]],MasterData[],3,)</f>
        <v>Category03</v>
      </c>
      <c r="I83" t="str">
        <f>VLOOKUP(InputData[[#This Row],[PRODUCT ID]],MasterData[],4,)</f>
        <v>Ft</v>
      </c>
      <c r="J83" s="7">
        <f>VLOOKUP(InputData[[#This Row],[PRODUCT ID]],MasterData[],5,)</f>
        <v>121</v>
      </c>
      <c r="K83" s="7">
        <f>VLOOKUP(InputData[[#This Row],[PRODUCT ID]],MasterData[],6,)</f>
        <v>141.57</v>
      </c>
      <c r="L83" s="7">
        <f>InputData[[#This Row],[BUYING PRIZE]]*InputData[[#This Row],[QUANTITY]]</f>
        <v>1694</v>
      </c>
      <c r="M83" s="7">
        <f>InputData[[#This Row],[SELLING PRICE]]*InputData[[#This Row],[QUANTITY]]*(1-InputData[[#This Row],[DISCOUNT %]])</f>
        <v>1981.98</v>
      </c>
      <c r="N83">
        <f>DAY(InputData[[#This Row],[DATE]])</f>
        <v>10</v>
      </c>
      <c r="O83" t="str">
        <f>TEXT(InputData[[#This Row],[DATE]],"mmm")</f>
        <v>Apr</v>
      </c>
      <c r="P83">
        <f>YEAR(InputData[[#This Row],[DATE]])</f>
        <v>2021</v>
      </c>
    </row>
    <row r="84" spans="1:16" x14ac:dyDescent="0.3">
      <c r="A84" s="3">
        <v>44298</v>
      </c>
      <c r="B84" s="4" t="s">
        <v>83</v>
      </c>
      <c r="C84" s="5">
        <v>3</v>
      </c>
      <c r="D84" s="5" t="s">
        <v>108</v>
      </c>
      <c r="E84" s="5" t="s">
        <v>107</v>
      </c>
      <c r="F84" s="6">
        <v>0</v>
      </c>
      <c r="G84" t="str">
        <f>VLOOKUP(InputData[[#This Row],[PRODUCT ID]],MasterData[],2,)</f>
        <v>Product37</v>
      </c>
      <c r="H84" t="str">
        <f>VLOOKUP(InputData[[#This Row],[PRODUCT ID]],MasterData[],3,)</f>
        <v>Category05</v>
      </c>
      <c r="I84" t="str">
        <f>VLOOKUP(InputData[[#This Row],[PRODUCT ID]],MasterData[],4,)</f>
        <v>Kg</v>
      </c>
      <c r="J84" s="7">
        <f>VLOOKUP(InputData[[#This Row],[PRODUCT ID]],MasterData[],5,)</f>
        <v>67</v>
      </c>
      <c r="K84" s="7">
        <f>VLOOKUP(InputData[[#This Row],[PRODUCT ID]],MasterData[],6,)</f>
        <v>85.76</v>
      </c>
      <c r="L84" s="7">
        <f>InputData[[#This Row],[BUYING PRIZE]]*InputData[[#This Row],[QUANTITY]]</f>
        <v>201</v>
      </c>
      <c r="M84" s="7">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3">
      <c r="A85" s="3">
        <v>44298</v>
      </c>
      <c r="B85" s="4" t="s">
        <v>67</v>
      </c>
      <c r="C85" s="5">
        <v>4</v>
      </c>
      <c r="D85" s="5" t="s">
        <v>108</v>
      </c>
      <c r="E85" s="5" t="s">
        <v>106</v>
      </c>
      <c r="F85" s="6">
        <v>0</v>
      </c>
      <c r="G85" t="str">
        <f>VLOOKUP(InputData[[#This Row],[PRODUCT ID]],MasterData[],2,)</f>
        <v>Product29</v>
      </c>
      <c r="H85" t="str">
        <f>VLOOKUP(InputData[[#This Row],[PRODUCT ID]],MasterData[],3,)</f>
        <v>Category04</v>
      </c>
      <c r="I85" t="str">
        <f>VLOOKUP(InputData[[#This Row],[PRODUCT ID]],MasterData[],4,)</f>
        <v>Lt</v>
      </c>
      <c r="J85" s="7">
        <f>VLOOKUP(InputData[[#This Row],[PRODUCT ID]],MasterData[],5,)</f>
        <v>47</v>
      </c>
      <c r="K85" s="7">
        <f>VLOOKUP(InputData[[#This Row],[PRODUCT ID]],MasterData[],6,)</f>
        <v>53.11</v>
      </c>
      <c r="L85" s="7">
        <f>InputData[[#This Row],[BUYING PRIZE]]*InputData[[#This Row],[QUANTITY]]</f>
        <v>188</v>
      </c>
      <c r="M85" s="7">
        <f>InputData[[#This Row],[SELLING PRICE]]*InputData[[#This Row],[QUANTITY]]*(1-InputData[[#This Row],[DISCOUNT %]])</f>
        <v>212.44</v>
      </c>
      <c r="N85">
        <f>DAY(InputData[[#This Row],[DATE]])</f>
        <v>12</v>
      </c>
      <c r="O85" t="str">
        <f>TEXT(InputData[[#This Row],[DATE]],"mmm")</f>
        <v>Apr</v>
      </c>
      <c r="P85">
        <f>YEAR(InputData[[#This Row],[DATE]])</f>
        <v>2021</v>
      </c>
    </row>
    <row r="86" spans="1:16" x14ac:dyDescent="0.3">
      <c r="A86" s="3">
        <v>44298</v>
      </c>
      <c r="B86" s="4" t="s">
        <v>63</v>
      </c>
      <c r="C86" s="5">
        <v>9</v>
      </c>
      <c r="D86" s="5" t="s">
        <v>108</v>
      </c>
      <c r="E86" s="5" t="s">
        <v>106</v>
      </c>
      <c r="F86" s="6">
        <v>0</v>
      </c>
      <c r="G86" t="str">
        <f>VLOOKUP(InputData[[#This Row],[PRODUCT ID]],MasterData[],2,)</f>
        <v>Product27</v>
      </c>
      <c r="H86" t="str">
        <f>VLOOKUP(InputData[[#This Row],[PRODUCT ID]],MasterData[],3,)</f>
        <v>Category04</v>
      </c>
      <c r="I86" t="str">
        <f>VLOOKUP(InputData[[#This Row],[PRODUCT ID]],MasterData[],4,)</f>
        <v>Lt</v>
      </c>
      <c r="J86" s="7">
        <f>VLOOKUP(InputData[[#This Row],[PRODUCT ID]],MasterData[],5,)</f>
        <v>48</v>
      </c>
      <c r="K86" s="7">
        <f>VLOOKUP(InputData[[#This Row],[PRODUCT ID]],MasterData[],6,)</f>
        <v>57.120000000000005</v>
      </c>
      <c r="L86" s="7">
        <f>InputData[[#This Row],[BUYING PRIZE]]*InputData[[#This Row],[QUANTITY]]</f>
        <v>432</v>
      </c>
      <c r="M86" s="7">
        <f>InputData[[#This Row],[SELLING PRICE]]*InputData[[#This Row],[QUANTITY]]*(1-InputData[[#This Row],[DISCOUNT %]])</f>
        <v>514.08000000000004</v>
      </c>
      <c r="N86">
        <f>DAY(InputData[[#This Row],[DATE]])</f>
        <v>12</v>
      </c>
      <c r="O86" t="str">
        <f>TEXT(InputData[[#This Row],[DATE]],"mmm")</f>
        <v>Apr</v>
      </c>
      <c r="P86">
        <f>YEAR(InputData[[#This Row],[DATE]])</f>
        <v>2021</v>
      </c>
    </row>
    <row r="87" spans="1:16" x14ac:dyDescent="0.3">
      <c r="A87" s="3">
        <v>44298</v>
      </c>
      <c r="B87" s="4" t="s">
        <v>75</v>
      </c>
      <c r="C87" s="5">
        <v>13</v>
      </c>
      <c r="D87" s="5" t="s">
        <v>108</v>
      </c>
      <c r="E87" s="5" t="s">
        <v>107</v>
      </c>
      <c r="F87" s="6">
        <v>0</v>
      </c>
      <c r="G87" t="str">
        <f>VLOOKUP(InputData[[#This Row],[PRODUCT ID]],MasterData[],2,)</f>
        <v>Product33</v>
      </c>
      <c r="H87" t="str">
        <f>VLOOKUP(InputData[[#This Row],[PRODUCT ID]],MasterData[],3,)</f>
        <v>Category04</v>
      </c>
      <c r="I87" t="str">
        <f>VLOOKUP(InputData[[#This Row],[PRODUCT ID]],MasterData[],4,)</f>
        <v>Kg</v>
      </c>
      <c r="J87" s="7">
        <f>VLOOKUP(InputData[[#This Row],[PRODUCT ID]],MasterData[],5,)</f>
        <v>95</v>
      </c>
      <c r="K87" s="7">
        <f>VLOOKUP(InputData[[#This Row],[PRODUCT ID]],MasterData[],6,)</f>
        <v>119.7</v>
      </c>
      <c r="L87" s="7">
        <f>InputData[[#This Row],[BUYING PRIZE]]*InputData[[#This Row],[QUANTITY]]</f>
        <v>1235</v>
      </c>
      <c r="M87" s="7">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3">
      <c r="A88" s="3">
        <v>44301</v>
      </c>
      <c r="B88" s="4" t="s">
        <v>41</v>
      </c>
      <c r="C88" s="5">
        <v>3</v>
      </c>
      <c r="D88" s="5" t="s">
        <v>108</v>
      </c>
      <c r="E88" s="5" t="s">
        <v>106</v>
      </c>
      <c r="F88" s="6">
        <v>0</v>
      </c>
      <c r="G88" t="str">
        <f>VLOOKUP(InputData[[#This Row],[PRODUCT ID]],MasterData[],2,)</f>
        <v>Product17</v>
      </c>
      <c r="H88" t="str">
        <f>VLOOKUP(InputData[[#This Row],[PRODUCT ID]],MasterData[],3,)</f>
        <v>Category02</v>
      </c>
      <c r="I88" t="str">
        <f>VLOOKUP(InputData[[#This Row],[PRODUCT ID]],MasterData[],4,)</f>
        <v>Ft</v>
      </c>
      <c r="J88" s="7">
        <f>VLOOKUP(InputData[[#This Row],[PRODUCT ID]],MasterData[],5,)</f>
        <v>134</v>
      </c>
      <c r="K88" s="7">
        <f>VLOOKUP(InputData[[#This Row],[PRODUCT ID]],MasterData[],6,)</f>
        <v>156.78</v>
      </c>
      <c r="L88" s="7">
        <f>InputData[[#This Row],[BUYING PRIZE]]*InputData[[#This Row],[QUANTITY]]</f>
        <v>402</v>
      </c>
      <c r="M88" s="7">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3">
      <c r="A89" s="3">
        <v>44302</v>
      </c>
      <c r="B89" s="4" t="s">
        <v>43</v>
      </c>
      <c r="C89" s="5">
        <v>15</v>
      </c>
      <c r="D89" s="5" t="s">
        <v>108</v>
      </c>
      <c r="E89" s="5" t="s">
        <v>107</v>
      </c>
      <c r="F89" s="6">
        <v>0</v>
      </c>
      <c r="G89" t="str">
        <f>VLOOKUP(InputData[[#This Row],[PRODUCT ID]],MasterData[],2,)</f>
        <v>Product18</v>
      </c>
      <c r="H89" t="str">
        <f>VLOOKUP(InputData[[#This Row],[PRODUCT ID]],MasterData[],3,)</f>
        <v>Category02</v>
      </c>
      <c r="I89" t="str">
        <f>VLOOKUP(InputData[[#This Row],[PRODUCT ID]],MasterData[],4,)</f>
        <v>No.</v>
      </c>
      <c r="J89" s="7">
        <f>VLOOKUP(InputData[[#This Row],[PRODUCT ID]],MasterData[],5,)</f>
        <v>37</v>
      </c>
      <c r="K89" s="7">
        <f>VLOOKUP(InputData[[#This Row],[PRODUCT ID]],MasterData[],6,)</f>
        <v>49.21</v>
      </c>
      <c r="L89" s="7">
        <f>InputData[[#This Row],[BUYING PRIZE]]*InputData[[#This Row],[QUANTITY]]</f>
        <v>555</v>
      </c>
      <c r="M89" s="7">
        <f>InputData[[#This Row],[SELLING PRICE]]*InputData[[#This Row],[QUANTITY]]*(1-InputData[[#This Row],[DISCOUNT %]])</f>
        <v>738.15</v>
      </c>
      <c r="N89">
        <f>DAY(InputData[[#This Row],[DATE]])</f>
        <v>16</v>
      </c>
      <c r="O89" t="str">
        <f>TEXT(InputData[[#This Row],[DATE]],"mmm")</f>
        <v>Apr</v>
      </c>
      <c r="P89">
        <f>YEAR(InputData[[#This Row],[DATE]])</f>
        <v>2021</v>
      </c>
    </row>
    <row r="90" spans="1:16" x14ac:dyDescent="0.3">
      <c r="A90" s="3">
        <v>44304</v>
      </c>
      <c r="B90" s="4" t="s">
        <v>86</v>
      </c>
      <c r="C90" s="5">
        <v>9</v>
      </c>
      <c r="D90" s="5" t="s">
        <v>105</v>
      </c>
      <c r="E90" s="5" t="s">
        <v>106</v>
      </c>
      <c r="F90" s="6">
        <v>0</v>
      </c>
      <c r="G90" t="str">
        <f>VLOOKUP(InputData[[#This Row],[PRODUCT ID]],MasterData[],2,)</f>
        <v>Product38</v>
      </c>
      <c r="H90" t="str">
        <f>VLOOKUP(InputData[[#This Row],[PRODUCT ID]],MasterData[],3,)</f>
        <v>Category05</v>
      </c>
      <c r="I90" t="str">
        <f>VLOOKUP(InputData[[#This Row],[PRODUCT ID]],MasterData[],4,)</f>
        <v>Kg</v>
      </c>
      <c r="J90" s="7">
        <f>VLOOKUP(InputData[[#This Row],[PRODUCT ID]],MasterData[],5,)</f>
        <v>72</v>
      </c>
      <c r="K90" s="7">
        <f>VLOOKUP(InputData[[#This Row],[PRODUCT ID]],MasterData[],6,)</f>
        <v>79.92</v>
      </c>
      <c r="L90" s="7">
        <f>InputData[[#This Row],[BUYING PRIZE]]*InputData[[#This Row],[QUANTITY]]</f>
        <v>648</v>
      </c>
      <c r="M90" s="7">
        <f>InputData[[#This Row],[SELLING PRICE]]*InputData[[#This Row],[QUANTITY]]*(1-InputData[[#This Row],[DISCOUNT %]])</f>
        <v>719.28</v>
      </c>
      <c r="N90">
        <f>DAY(InputData[[#This Row],[DATE]])</f>
        <v>18</v>
      </c>
      <c r="O90" t="str">
        <f>TEXT(InputData[[#This Row],[DATE]],"mmm")</f>
        <v>Apr</v>
      </c>
      <c r="P90">
        <f>YEAR(InputData[[#This Row],[DATE]])</f>
        <v>2021</v>
      </c>
    </row>
    <row r="91" spans="1:16" x14ac:dyDescent="0.3">
      <c r="A91" s="3">
        <v>44304</v>
      </c>
      <c r="B91" s="4" t="s">
        <v>45</v>
      </c>
      <c r="C91" s="5">
        <v>13</v>
      </c>
      <c r="D91" s="5" t="s">
        <v>108</v>
      </c>
      <c r="E91" s="5" t="s">
        <v>107</v>
      </c>
      <c r="F91" s="6">
        <v>0</v>
      </c>
      <c r="G91" t="str">
        <f>VLOOKUP(InputData[[#This Row],[PRODUCT ID]],MasterData[],2,)</f>
        <v>Product19</v>
      </c>
      <c r="H91" t="str">
        <f>VLOOKUP(InputData[[#This Row],[PRODUCT ID]],MasterData[],3,)</f>
        <v>Category02</v>
      </c>
      <c r="I91" t="str">
        <f>VLOOKUP(InputData[[#This Row],[PRODUCT ID]],MasterData[],4,)</f>
        <v>Ft</v>
      </c>
      <c r="J91" s="7">
        <f>VLOOKUP(InputData[[#This Row],[PRODUCT ID]],MasterData[],5,)</f>
        <v>150</v>
      </c>
      <c r="K91" s="7">
        <f>VLOOKUP(InputData[[#This Row],[PRODUCT ID]],MasterData[],6,)</f>
        <v>210</v>
      </c>
      <c r="L91" s="7">
        <f>InputData[[#This Row],[BUYING PRIZE]]*InputData[[#This Row],[QUANTITY]]</f>
        <v>1950</v>
      </c>
      <c r="M91" s="7">
        <f>InputData[[#This Row],[SELLING PRICE]]*InputData[[#This Row],[QUANTITY]]*(1-InputData[[#This Row],[DISCOUNT %]])</f>
        <v>2730</v>
      </c>
      <c r="N91">
        <f>DAY(InputData[[#This Row],[DATE]])</f>
        <v>18</v>
      </c>
      <c r="O91" t="str">
        <f>TEXT(InputData[[#This Row],[DATE]],"mmm")</f>
        <v>Apr</v>
      </c>
      <c r="P91">
        <f>YEAR(InputData[[#This Row],[DATE]])</f>
        <v>2021</v>
      </c>
    </row>
    <row r="92" spans="1:16" x14ac:dyDescent="0.3">
      <c r="A92" s="3">
        <v>44309</v>
      </c>
      <c r="B92" s="4" t="s">
        <v>94</v>
      </c>
      <c r="C92" s="5">
        <v>6</v>
      </c>
      <c r="D92" s="5" t="s">
        <v>108</v>
      </c>
      <c r="E92" s="5" t="s">
        <v>106</v>
      </c>
      <c r="F92" s="6">
        <v>0</v>
      </c>
      <c r="G92" t="str">
        <f>VLOOKUP(InputData[[#This Row],[PRODUCT ID]],MasterData[],2,)</f>
        <v>Product42</v>
      </c>
      <c r="H92" t="str">
        <f>VLOOKUP(InputData[[#This Row],[PRODUCT ID]],MasterData[],3,)</f>
        <v>Category05</v>
      </c>
      <c r="I92" t="str">
        <f>VLOOKUP(InputData[[#This Row],[PRODUCT ID]],MasterData[],4,)</f>
        <v>Ft</v>
      </c>
      <c r="J92" s="7">
        <f>VLOOKUP(InputData[[#This Row],[PRODUCT ID]],MasterData[],5,)</f>
        <v>120</v>
      </c>
      <c r="K92" s="7">
        <f>VLOOKUP(InputData[[#This Row],[PRODUCT ID]],MasterData[],6,)</f>
        <v>162</v>
      </c>
      <c r="L92" s="7">
        <f>InputData[[#This Row],[BUYING PRIZE]]*InputData[[#This Row],[QUANTITY]]</f>
        <v>720</v>
      </c>
      <c r="M92" s="7">
        <f>InputData[[#This Row],[SELLING PRICE]]*InputData[[#This Row],[QUANTITY]]*(1-InputData[[#This Row],[DISCOUNT %]])</f>
        <v>972</v>
      </c>
      <c r="N92">
        <f>DAY(InputData[[#This Row],[DATE]])</f>
        <v>23</v>
      </c>
      <c r="O92" t="str">
        <f>TEXT(InputData[[#This Row],[DATE]],"mmm")</f>
        <v>Apr</v>
      </c>
      <c r="P92">
        <f>YEAR(InputData[[#This Row],[DATE]])</f>
        <v>2021</v>
      </c>
    </row>
    <row r="93" spans="1:16" x14ac:dyDescent="0.3">
      <c r="A93" s="3">
        <v>44309</v>
      </c>
      <c r="B93" s="4" t="s">
        <v>65</v>
      </c>
      <c r="C93" s="5">
        <v>10</v>
      </c>
      <c r="D93" s="5" t="s">
        <v>108</v>
      </c>
      <c r="E93" s="5" t="s">
        <v>106</v>
      </c>
      <c r="F93" s="6">
        <v>0</v>
      </c>
      <c r="G93" t="str">
        <f>VLOOKUP(InputData[[#This Row],[PRODUCT ID]],MasterData[],2,)</f>
        <v>Product28</v>
      </c>
      <c r="H93" t="str">
        <f>VLOOKUP(InputData[[#This Row],[PRODUCT ID]],MasterData[],3,)</f>
        <v>Category04</v>
      </c>
      <c r="I93" t="str">
        <f>VLOOKUP(InputData[[#This Row],[PRODUCT ID]],MasterData[],4,)</f>
        <v>No.</v>
      </c>
      <c r="J93" s="7">
        <f>VLOOKUP(InputData[[#This Row],[PRODUCT ID]],MasterData[],5,)</f>
        <v>37</v>
      </c>
      <c r="K93" s="7">
        <f>VLOOKUP(InputData[[#This Row],[PRODUCT ID]],MasterData[],6,)</f>
        <v>41.81</v>
      </c>
      <c r="L93" s="7">
        <f>InputData[[#This Row],[BUYING PRIZE]]*InputData[[#This Row],[QUANTITY]]</f>
        <v>370</v>
      </c>
      <c r="M93" s="7">
        <f>InputData[[#This Row],[SELLING PRICE]]*InputData[[#This Row],[QUANTITY]]*(1-InputData[[#This Row],[DISCOUNT %]])</f>
        <v>418.1</v>
      </c>
      <c r="N93">
        <f>DAY(InputData[[#This Row],[DATE]])</f>
        <v>23</v>
      </c>
      <c r="O93" t="str">
        <f>TEXT(InputData[[#This Row],[DATE]],"mmm")</f>
        <v>Apr</v>
      </c>
      <c r="P93">
        <f>YEAR(InputData[[#This Row],[DATE]])</f>
        <v>2021</v>
      </c>
    </row>
    <row r="94" spans="1:16" x14ac:dyDescent="0.3">
      <c r="A94" s="3">
        <v>44310</v>
      </c>
      <c r="B94" s="4" t="s">
        <v>69</v>
      </c>
      <c r="C94" s="5">
        <v>2</v>
      </c>
      <c r="D94" s="5" t="s">
        <v>106</v>
      </c>
      <c r="E94" s="5" t="s">
        <v>106</v>
      </c>
      <c r="F94" s="6">
        <v>0</v>
      </c>
      <c r="G94" t="str">
        <f>VLOOKUP(InputData[[#This Row],[PRODUCT ID]],MasterData[],2,)</f>
        <v>Product30</v>
      </c>
      <c r="H94" t="str">
        <f>VLOOKUP(InputData[[#This Row],[PRODUCT ID]],MasterData[],3,)</f>
        <v>Category04</v>
      </c>
      <c r="I94" t="str">
        <f>VLOOKUP(InputData[[#This Row],[PRODUCT ID]],MasterData[],4,)</f>
        <v>Ft</v>
      </c>
      <c r="J94" s="7">
        <f>VLOOKUP(InputData[[#This Row],[PRODUCT ID]],MasterData[],5,)</f>
        <v>148</v>
      </c>
      <c r="K94" s="7">
        <f>VLOOKUP(InputData[[#This Row],[PRODUCT ID]],MasterData[],6,)</f>
        <v>201.28</v>
      </c>
      <c r="L94" s="7">
        <f>InputData[[#This Row],[BUYING PRIZE]]*InputData[[#This Row],[QUANTITY]]</f>
        <v>296</v>
      </c>
      <c r="M94" s="7">
        <f>InputData[[#This Row],[SELLING PRICE]]*InputData[[#This Row],[QUANTITY]]*(1-InputData[[#This Row],[DISCOUNT %]])</f>
        <v>402.56</v>
      </c>
      <c r="N94">
        <f>DAY(InputData[[#This Row],[DATE]])</f>
        <v>24</v>
      </c>
      <c r="O94" t="str">
        <f>TEXT(InputData[[#This Row],[DATE]],"mmm")</f>
        <v>Apr</v>
      </c>
      <c r="P94">
        <f>YEAR(InputData[[#This Row],[DATE]])</f>
        <v>2021</v>
      </c>
    </row>
    <row r="95" spans="1:16" x14ac:dyDescent="0.3">
      <c r="A95" s="3">
        <v>44312</v>
      </c>
      <c r="B95" s="4" t="s">
        <v>83</v>
      </c>
      <c r="C95" s="5">
        <v>3</v>
      </c>
      <c r="D95" s="5" t="s">
        <v>108</v>
      </c>
      <c r="E95" s="5" t="s">
        <v>106</v>
      </c>
      <c r="F95" s="6">
        <v>0</v>
      </c>
      <c r="G95" t="str">
        <f>VLOOKUP(InputData[[#This Row],[PRODUCT ID]],MasterData[],2,)</f>
        <v>Product37</v>
      </c>
      <c r="H95" t="str">
        <f>VLOOKUP(InputData[[#This Row],[PRODUCT ID]],MasterData[],3,)</f>
        <v>Category05</v>
      </c>
      <c r="I95" t="str">
        <f>VLOOKUP(InputData[[#This Row],[PRODUCT ID]],MasterData[],4,)</f>
        <v>Kg</v>
      </c>
      <c r="J95" s="7">
        <f>VLOOKUP(InputData[[#This Row],[PRODUCT ID]],MasterData[],5,)</f>
        <v>67</v>
      </c>
      <c r="K95" s="7">
        <f>VLOOKUP(InputData[[#This Row],[PRODUCT ID]],MasterData[],6,)</f>
        <v>85.76</v>
      </c>
      <c r="L95" s="7">
        <f>InputData[[#This Row],[BUYING PRIZE]]*InputData[[#This Row],[QUANTITY]]</f>
        <v>201</v>
      </c>
      <c r="M95" s="7">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3">
      <c r="A96" s="3">
        <v>44315</v>
      </c>
      <c r="B96" s="4" t="s">
        <v>69</v>
      </c>
      <c r="C96" s="5">
        <v>7</v>
      </c>
      <c r="D96" s="5" t="s">
        <v>108</v>
      </c>
      <c r="E96" s="5" t="s">
        <v>106</v>
      </c>
      <c r="F96" s="6">
        <v>0</v>
      </c>
      <c r="G96" t="str">
        <f>VLOOKUP(InputData[[#This Row],[PRODUCT ID]],MasterData[],2,)</f>
        <v>Product30</v>
      </c>
      <c r="H96" t="str">
        <f>VLOOKUP(InputData[[#This Row],[PRODUCT ID]],MasterData[],3,)</f>
        <v>Category04</v>
      </c>
      <c r="I96" t="str">
        <f>VLOOKUP(InputData[[#This Row],[PRODUCT ID]],MasterData[],4,)</f>
        <v>Ft</v>
      </c>
      <c r="J96" s="7">
        <f>VLOOKUP(InputData[[#This Row],[PRODUCT ID]],MasterData[],5,)</f>
        <v>148</v>
      </c>
      <c r="K96" s="7">
        <f>VLOOKUP(InputData[[#This Row],[PRODUCT ID]],MasterData[],6,)</f>
        <v>201.28</v>
      </c>
      <c r="L96" s="7">
        <f>InputData[[#This Row],[BUYING PRIZE]]*InputData[[#This Row],[QUANTITY]]</f>
        <v>1036</v>
      </c>
      <c r="M96" s="7">
        <f>InputData[[#This Row],[SELLING PRICE]]*InputData[[#This Row],[QUANTITY]]*(1-InputData[[#This Row],[DISCOUNT %]])</f>
        <v>1408.96</v>
      </c>
      <c r="N96">
        <f>DAY(InputData[[#This Row],[DATE]])</f>
        <v>29</v>
      </c>
      <c r="O96" t="str">
        <f>TEXT(InputData[[#This Row],[DATE]],"mmm")</f>
        <v>Apr</v>
      </c>
      <c r="P96">
        <f>YEAR(InputData[[#This Row],[DATE]])</f>
        <v>2021</v>
      </c>
    </row>
    <row r="97" spans="1:16" x14ac:dyDescent="0.3">
      <c r="A97" s="3">
        <v>44316</v>
      </c>
      <c r="B97" s="4" t="s">
        <v>67</v>
      </c>
      <c r="C97" s="5">
        <v>1</v>
      </c>
      <c r="D97" s="5" t="s">
        <v>108</v>
      </c>
      <c r="E97" s="5" t="s">
        <v>106</v>
      </c>
      <c r="F97" s="6">
        <v>0</v>
      </c>
      <c r="G97" t="str">
        <f>VLOOKUP(InputData[[#This Row],[PRODUCT ID]],MasterData[],2,)</f>
        <v>Product29</v>
      </c>
      <c r="H97" t="str">
        <f>VLOOKUP(InputData[[#This Row],[PRODUCT ID]],MasterData[],3,)</f>
        <v>Category04</v>
      </c>
      <c r="I97" t="str">
        <f>VLOOKUP(InputData[[#This Row],[PRODUCT ID]],MasterData[],4,)</f>
        <v>Lt</v>
      </c>
      <c r="J97" s="7">
        <f>VLOOKUP(InputData[[#This Row],[PRODUCT ID]],MasterData[],5,)</f>
        <v>47</v>
      </c>
      <c r="K97" s="7">
        <f>VLOOKUP(InputData[[#This Row],[PRODUCT ID]],MasterData[],6,)</f>
        <v>53.11</v>
      </c>
      <c r="L97" s="7">
        <f>InputData[[#This Row],[BUYING PRIZE]]*InputData[[#This Row],[QUANTITY]]</f>
        <v>47</v>
      </c>
      <c r="M97" s="7">
        <f>InputData[[#This Row],[SELLING PRICE]]*InputData[[#This Row],[QUANTITY]]*(1-InputData[[#This Row],[DISCOUNT %]])</f>
        <v>53.11</v>
      </c>
      <c r="N97">
        <f>DAY(InputData[[#This Row],[DATE]])</f>
        <v>30</v>
      </c>
      <c r="O97" t="str">
        <f>TEXT(InputData[[#This Row],[DATE]],"mmm")</f>
        <v>Apr</v>
      </c>
      <c r="P97">
        <f>YEAR(InputData[[#This Row],[DATE]])</f>
        <v>2021</v>
      </c>
    </row>
    <row r="98" spans="1:16" x14ac:dyDescent="0.3">
      <c r="A98" s="3">
        <v>44317</v>
      </c>
      <c r="B98" s="4" t="s">
        <v>43</v>
      </c>
      <c r="C98" s="5">
        <v>3</v>
      </c>
      <c r="D98" s="5" t="s">
        <v>106</v>
      </c>
      <c r="E98" s="5" t="s">
        <v>107</v>
      </c>
      <c r="F98" s="6">
        <v>0</v>
      </c>
      <c r="G98" t="str">
        <f>VLOOKUP(InputData[[#This Row],[PRODUCT ID]],MasterData[],2,)</f>
        <v>Product18</v>
      </c>
      <c r="H98" t="str">
        <f>VLOOKUP(InputData[[#This Row],[PRODUCT ID]],MasterData[],3,)</f>
        <v>Category02</v>
      </c>
      <c r="I98" t="str">
        <f>VLOOKUP(InputData[[#This Row],[PRODUCT ID]],MasterData[],4,)</f>
        <v>No.</v>
      </c>
      <c r="J98" s="7">
        <f>VLOOKUP(InputData[[#This Row],[PRODUCT ID]],MasterData[],5,)</f>
        <v>37</v>
      </c>
      <c r="K98" s="7">
        <f>VLOOKUP(InputData[[#This Row],[PRODUCT ID]],MasterData[],6,)</f>
        <v>49.21</v>
      </c>
      <c r="L98" s="7">
        <f>InputData[[#This Row],[BUYING PRIZE]]*InputData[[#This Row],[QUANTITY]]</f>
        <v>111</v>
      </c>
      <c r="M98" s="7">
        <f>InputData[[#This Row],[SELLING PRICE]]*InputData[[#This Row],[QUANTITY]]*(1-InputData[[#This Row],[DISCOUNT %]])</f>
        <v>147.63</v>
      </c>
      <c r="N98">
        <f>DAY(InputData[[#This Row],[DATE]])</f>
        <v>1</v>
      </c>
      <c r="O98" t="str">
        <f>TEXT(InputData[[#This Row],[DATE]],"mmm")</f>
        <v>May</v>
      </c>
      <c r="P98">
        <f>YEAR(InputData[[#This Row],[DATE]])</f>
        <v>2021</v>
      </c>
    </row>
    <row r="99" spans="1:16" x14ac:dyDescent="0.3">
      <c r="A99" s="3">
        <v>44317</v>
      </c>
      <c r="B99" s="4" t="s">
        <v>94</v>
      </c>
      <c r="C99" s="5">
        <v>1</v>
      </c>
      <c r="D99" s="5" t="s">
        <v>106</v>
      </c>
      <c r="E99" s="5" t="s">
        <v>107</v>
      </c>
      <c r="F99" s="6">
        <v>0</v>
      </c>
      <c r="G99" t="str">
        <f>VLOOKUP(InputData[[#This Row],[PRODUCT ID]],MasterData[],2,)</f>
        <v>Product42</v>
      </c>
      <c r="H99" t="str">
        <f>VLOOKUP(InputData[[#This Row],[PRODUCT ID]],MasterData[],3,)</f>
        <v>Category05</v>
      </c>
      <c r="I99" t="str">
        <f>VLOOKUP(InputData[[#This Row],[PRODUCT ID]],MasterData[],4,)</f>
        <v>Ft</v>
      </c>
      <c r="J99" s="7">
        <f>VLOOKUP(InputData[[#This Row],[PRODUCT ID]],MasterData[],5,)</f>
        <v>120</v>
      </c>
      <c r="K99" s="7">
        <f>VLOOKUP(InputData[[#This Row],[PRODUCT ID]],MasterData[],6,)</f>
        <v>162</v>
      </c>
      <c r="L99" s="7">
        <f>InputData[[#This Row],[BUYING PRIZE]]*InputData[[#This Row],[QUANTITY]]</f>
        <v>120</v>
      </c>
      <c r="M99" s="7">
        <f>InputData[[#This Row],[SELLING PRICE]]*InputData[[#This Row],[QUANTITY]]*(1-InputData[[#This Row],[DISCOUNT %]])</f>
        <v>162</v>
      </c>
      <c r="N99">
        <f>DAY(InputData[[#This Row],[DATE]])</f>
        <v>1</v>
      </c>
      <c r="O99" t="str">
        <f>TEXT(InputData[[#This Row],[DATE]],"mmm")</f>
        <v>May</v>
      </c>
      <c r="P99">
        <f>YEAR(InputData[[#This Row],[DATE]])</f>
        <v>2021</v>
      </c>
    </row>
    <row r="100" spans="1:16" x14ac:dyDescent="0.3">
      <c r="A100" s="3">
        <v>44319</v>
      </c>
      <c r="B100" s="4" t="s">
        <v>77</v>
      </c>
      <c r="C100" s="5">
        <v>3</v>
      </c>
      <c r="D100" s="5" t="s">
        <v>106</v>
      </c>
      <c r="E100" s="5" t="s">
        <v>106</v>
      </c>
      <c r="F100" s="6">
        <v>0</v>
      </c>
      <c r="G100" t="str">
        <f>VLOOKUP(InputData[[#This Row],[PRODUCT ID]],MasterData[],2,)</f>
        <v>Product34</v>
      </c>
      <c r="H100" t="str">
        <f>VLOOKUP(InputData[[#This Row],[PRODUCT ID]],MasterData[],3,)</f>
        <v>Category04</v>
      </c>
      <c r="I100" t="str">
        <f>VLOOKUP(InputData[[#This Row],[PRODUCT ID]],MasterData[],4,)</f>
        <v>Lt</v>
      </c>
      <c r="J100" s="7">
        <f>VLOOKUP(InputData[[#This Row],[PRODUCT ID]],MasterData[],5,)</f>
        <v>55</v>
      </c>
      <c r="K100" s="7">
        <f>VLOOKUP(InputData[[#This Row],[PRODUCT ID]],MasterData[],6,)</f>
        <v>58.3</v>
      </c>
      <c r="L100" s="7">
        <f>InputData[[#This Row],[BUYING PRIZE]]*InputData[[#This Row],[QUANTITY]]</f>
        <v>165</v>
      </c>
      <c r="M100" s="7">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3">
      <c r="A101" s="3">
        <v>44320</v>
      </c>
      <c r="B101" s="4" t="s">
        <v>37</v>
      </c>
      <c r="C101" s="5">
        <v>13</v>
      </c>
      <c r="D101" s="5" t="s">
        <v>106</v>
      </c>
      <c r="E101" s="5" t="s">
        <v>106</v>
      </c>
      <c r="F101" s="6">
        <v>0</v>
      </c>
      <c r="G101" t="str">
        <f>VLOOKUP(InputData[[#This Row],[PRODUCT ID]],MasterData[],2,)</f>
        <v>Product15</v>
      </c>
      <c r="H101" t="str">
        <f>VLOOKUP(InputData[[#This Row],[PRODUCT ID]],MasterData[],3,)</f>
        <v>Category02</v>
      </c>
      <c r="I101" t="str">
        <f>VLOOKUP(InputData[[#This Row],[PRODUCT ID]],MasterData[],4,)</f>
        <v>No.</v>
      </c>
      <c r="J101" s="7">
        <f>VLOOKUP(InputData[[#This Row],[PRODUCT ID]],MasterData[],5,)</f>
        <v>12</v>
      </c>
      <c r="K101" s="7">
        <f>VLOOKUP(InputData[[#This Row],[PRODUCT ID]],MasterData[],6,)</f>
        <v>15.719999999999999</v>
      </c>
      <c r="L101" s="7">
        <f>InputData[[#This Row],[BUYING PRIZE]]*InputData[[#This Row],[QUANTITY]]</f>
        <v>156</v>
      </c>
      <c r="M101" s="7">
        <f>InputData[[#This Row],[SELLING PRICE]]*InputData[[#This Row],[QUANTITY]]*(1-InputData[[#This Row],[DISCOUNT %]])</f>
        <v>204.35999999999999</v>
      </c>
      <c r="N101">
        <f>DAY(InputData[[#This Row],[DATE]])</f>
        <v>4</v>
      </c>
      <c r="O101" t="str">
        <f>TEXT(InputData[[#This Row],[DATE]],"mmm")</f>
        <v>May</v>
      </c>
      <c r="P101">
        <f>YEAR(InputData[[#This Row],[DATE]])</f>
        <v>2021</v>
      </c>
    </row>
    <row r="102" spans="1:16" x14ac:dyDescent="0.3">
      <c r="A102" s="3">
        <v>44320</v>
      </c>
      <c r="B102" s="4" t="s">
        <v>35</v>
      </c>
      <c r="C102" s="5">
        <v>4</v>
      </c>
      <c r="D102" s="5" t="s">
        <v>108</v>
      </c>
      <c r="E102" s="5" t="s">
        <v>107</v>
      </c>
      <c r="F102" s="6">
        <v>0</v>
      </c>
      <c r="G102" t="str">
        <f>VLOOKUP(InputData[[#This Row],[PRODUCT ID]],MasterData[],2,)</f>
        <v>Product14</v>
      </c>
      <c r="H102" t="str">
        <f>VLOOKUP(InputData[[#This Row],[PRODUCT ID]],MasterData[],3,)</f>
        <v>Category02</v>
      </c>
      <c r="I102" t="str">
        <f>VLOOKUP(InputData[[#This Row],[PRODUCT ID]],MasterData[],4,)</f>
        <v>Kg</v>
      </c>
      <c r="J102" s="7">
        <f>VLOOKUP(InputData[[#This Row],[PRODUCT ID]],MasterData[],5,)</f>
        <v>112</v>
      </c>
      <c r="K102" s="7">
        <f>VLOOKUP(InputData[[#This Row],[PRODUCT ID]],MasterData[],6,)</f>
        <v>146.72</v>
      </c>
      <c r="L102" s="7">
        <f>InputData[[#This Row],[BUYING PRIZE]]*InputData[[#This Row],[QUANTITY]]</f>
        <v>448</v>
      </c>
      <c r="M102" s="7">
        <f>InputData[[#This Row],[SELLING PRICE]]*InputData[[#This Row],[QUANTITY]]*(1-InputData[[#This Row],[DISCOUNT %]])</f>
        <v>586.88</v>
      </c>
      <c r="N102">
        <f>DAY(InputData[[#This Row],[DATE]])</f>
        <v>4</v>
      </c>
      <c r="O102" t="str">
        <f>TEXT(InputData[[#This Row],[DATE]],"mmm")</f>
        <v>May</v>
      </c>
      <c r="P102">
        <f>YEAR(InputData[[#This Row],[DATE]])</f>
        <v>2021</v>
      </c>
    </row>
    <row r="103" spans="1:16" x14ac:dyDescent="0.3">
      <c r="A103" s="3">
        <v>44321</v>
      </c>
      <c r="B103" s="4" t="s">
        <v>24</v>
      </c>
      <c r="C103" s="5">
        <v>13</v>
      </c>
      <c r="D103" s="5" t="s">
        <v>108</v>
      </c>
      <c r="E103" s="5" t="s">
        <v>107</v>
      </c>
      <c r="F103" s="6">
        <v>0</v>
      </c>
      <c r="G103" t="str">
        <f>VLOOKUP(InputData[[#This Row],[PRODUCT ID]],MasterData[],2,)</f>
        <v>Product09</v>
      </c>
      <c r="H103" t="str">
        <f>VLOOKUP(InputData[[#This Row],[PRODUCT ID]],MasterData[],3,)</f>
        <v>Category01</v>
      </c>
      <c r="I103" t="str">
        <f>VLOOKUP(InputData[[#This Row],[PRODUCT ID]],MasterData[],4,)</f>
        <v>No.</v>
      </c>
      <c r="J103" s="7">
        <f>VLOOKUP(InputData[[#This Row],[PRODUCT ID]],MasterData[],5,)</f>
        <v>6</v>
      </c>
      <c r="K103" s="7">
        <f>VLOOKUP(InputData[[#This Row],[PRODUCT ID]],MasterData[],6,)</f>
        <v>7.8599999999999994</v>
      </c>
      <c r="L103" s="7">
        <f>InputData[[#This Row],[BUYING PRIZE]]*InputData[[#This Row],[QUANTITY]]</f>
        <v>78</v>
      </c>
      <c r="M103" s="7">
        <f>InputData[[#This Row],[SELLING PRICE]]*InputData[[#This Row],[QUANTITY]]*(1-InputData[[#This Row],[DISCOUNT %]])</f>
        <v>102.17999999999999</v>
      </c>
      <c r="N103">
        <f>DAY(InputData[[#This Row],[DATE]])</f>
        <v>5</v>
      </c>
      <c r="O103" t="str">
        <f>TEXT(InputData[[#This Row],[DATE]],"mmm")</f>
        <v>May</v>
      </c>
      <c r="P103">
        <f>YEAR(InputData[[#This Row],[DATE]])</f>
        <v>2021</v>
      </c>
    </row>
    <row r="104" spans="1:16" x14ac:dyDescent="0.3">
      <c r="A104" s="3">
        <v>44322</v>
      </c>
      <c r="B104" s="4" t="s">
        <v>22</v>
      </c>
      <c r="C104" s="5">
        <v>15</v>
      </c>
      <c r="D104" s="5" t="s">
        <v>108</v>
      </c>
      <c r="E104" s="5" t="s">
        <v>106</v>
      </c>
      <c r="F104" s="6">
        <v>0</v>
      </c>
      <c r="G104" t="str">
        <f>VLOOKUP(InputData[[#This Row],[PRODUCT ID]],MasterData[],2,)</f>
        <v>Product08</v>
      </c>
      <c r="H104" t="str">
        <f>VLOOKUP(InputData[[#This Row],[PRODUCT ID]],MasterData[],3,)</f>
        <v>Category01</v>
      </c>
      <c r="I104" t="str">
        <f>VLOOKUP(InputData[[#This Row],[PRODUCT ID]],MasterData[],4,)</f>
        <v>Kg</v>
      </c>
      <c r="J104" s="7">
        <f>VLOOKUP(InputData[[#This Row],[PRODUCT ID]],MasterData[],5,)</f>
        <v>83</v>
      </c>
      <c r="K104" s="7">
        <f>VLOOKUP(InputData[[#This Row],[PRODUCT ID]],MasterData[],6,)</f>
        <v>94.62</v>
      </c>
      <c r="L104" s="7">
        <f>InputData[[#This Row],[BUYING PRIZE]]*InputData[[#This Row],[QUANTITY]]</f>
        <v>1245</v>
      </c>
      <c r="M104" s="7">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3">
      <c r="A105" s="3">
        <v>44322</v>
      </c>
      <c r="B105" s="4" t="s">
        <v>24</v>
      </c>
      <c r="C105" s="5">
        <v>6</v>
      </c>
      <c r="D105" s="5" t="s">
        <v>106</v>
      </c>
      <c r="E105" s="5" t="s">
        <v>106</v>
      </c>
      <c r="F105" s="6">
        <v>0</v>
      </c>
      <c r="G105" t="str">
        <f>VLOOKUP(InputData[[#This Row],[PRODUCT ID]],MasterData[],2,)</f>
        <v>Product09</v>
      </c>
      <c r="H105" t="str">
        <f>VLOOKUP(InputData[[#This Row],[PRODUCT ID]],MasterData[],3,)</f>
        <v>Category01</v>
      </c>
      <c r="I105" t="str">
        <f>VLOOKUP(InputData[[#This Row],[PRODUCT ID]],MasterData[],4,)</f>
        <v>No.</v>
      </c>
      <c r="J105" s="7">
        <f>VLOOKUP(InputData[[#This Row],[PRODUCT ID]],MasterData[],5,)</f>
        <v>6</v>
      </c>
      <c r="K105" s="7">
        <f>VLOOKUP(InputData[[#This Row],[PRODUCT ID]],MasterData[],6,)</f>
        <v>7.8599999999999994</v>
      </c>
      <c r="L105" s="7">
        <f>InputData[[#This Row],[BUYING PRIZE]]*InputData[[#This Row],[QUANTITY]]</f>
        <v>36</v>
      </c>
      <c r="M105" s="7">
        <f>InputData[[#This Row],[SELLING PRICE]]*InputData[[#This Row],[QUANTITY]]*(1-InputData[[#This Row],[DISCOUNT %]])</f>
        <v>47.16</v>
      </c>
      <c r="N105">
        <f>DAY(InputData[[#This Row],[DATE]])</f>
        <v>6</v>
      </c>
      <c r="O105" t="str">
        <f>TEXT(InputData[[#This Row],[DATE]],"mmm")</f>
        <v>May</v>
      </c>
      <c r="P105">
        <f>YEAR(InputData[[#This Row],[DATE]])</f>
        <v>2021</v>
      </c>
    </row>
    <row r="106" spans="1:16" x14ac:dyDescent="0.3">
      <c r="A106" s="3">
        <v>44323</v>
      </c>
      <c r="B106" s="4" t="s">
        <v>43</v>
      </c>
      <c r="C106" s="5">
        <v>1</v>
      </c>
      <c r="D106" s="5" t="s">
        <v>108</v>
      </c>
      <c r="E106" s="5" t="s">
        <v>107</v>
      </c>
      <c r="F106" s="6">
        <v>0</v>
      </c>
      <c r="G106" t="str">
        <f>VLOOKUP(InputData[[#This Row],[PRODUCT ID]],MasterData[],2,)</f>
        <v>Product18</v>
      </c>
      <c r="H106" t="str">
        <f>VLOOKUP(InputData[[#This Row],[PRODUCT ID]],MasterData[],3,)</f>
        <v>Category02</v>
      </c>
      <c r="I106" t="str">
        <f>VLOOKUP(InputData[[#This Row],[PRODUCT ID]],MasterData[],4,)</f>
        <v>No.</v>
      </c>
      <c r="J106" s="7">
        <f>VLOOKUP(InputData[[#This Row],[PRODUCT ID]],MasterData[],5,)</f>
        <v>37</v>
      </c>
      <c r="K106" s="7">
        <f>VLOOKUP(InputData[[#This Row],[PRODUCT ID]],MasterData[],6,)</f>
        <v>49.21</v>
      </c>
      <c r="L106" s="7">
        <f>InputData[[#This Row],[BUYING PRIZE]]*InputData[[#This Row],[QUANTITY]]</f>
        <v>37</v>
      </c>
      <c r="M106" s="7">
        <f>InputData[[#This Row],[SELLING PRICE]]*InputData[[#This Row],[QUANTITY]]*(1-InputData[[#This Row],[DISCOUNT %]])</f>
        <v>49.21</v>
      </c>
      <c r="N106">
        <f>DAY(InputData[[#This Row],[DATE]])</f>
        <v>7</v>
      </c>
      <c r="O106" t="str">
        <f>TEXT(InputData[[#This Row],[DATE]],"mmm")</f>
        <v>May</v>
      </c>
      <c r="P106">
        <f>YEAR(InputData[[#This Row],[DATE]])</f>
        <v>2021</v>
      </c>
    </row>
    <row r="107" spans="1:16" x14ac:dyDescent="0.3">
      <c r="A107" s="3">
        <v>44325</v>
      </c>
      <c r="B107" s="4" t="s">
        <v>39</v>
      </c>
      <c r="C107" s="5">
        <v>6</v>
      </c>
      <c r="D107" s="5" t="s">
        <v>106</v>
      </c>
      <c r="E107" s="5" t="s">
        <v>106</v>
      </c>
      <c r="F107" s="6">
        <v>0</v>
      </c>
      <c r="G107" t="str">
        <f>VLOOKUP(InputData[[#This Row],[PRODUCT ID]],MasterData[],2,)</f>
        <v>Product16</v>
      </c>
      <c r="H107" t="str">
        <f>VLOOKUP(InputData[[#This Row],[PRODUCT ID]],MasterData[],3,)</f>
        <v>Category02</v>
      </c>
      <c r="I107" t="str">
        <f>VLOOKUP(InputData[[#This Row],[PRODUCT ID]],MasterData[],4,)</f>
        <v>No.</v>
      </c>
      <c r="J107" s="7">
        <f>VLOOKUP(InputData[[#This Row],[PRODUCT ID]],MasterData[],5,)</f>
        <v>13</v>
      </c>
      <c r="K107" s="7">
        <f>VLOOKUP(InputData[[#This Row],[PRODUCT ID]],MasterData[],6,)</f>
        <v>16.64</v>
      </c>
      <c r="L107" s="7">
        <f>InputData[[#This Row],[BUYING PRIZE]]*InputData[[#This Row],[QUANTITY]]</f>
        <v>78</v>
      </c>
      <c r="M107" s="7">
        <f>InputData[[#This Row],[SELLING PRICE]]*InputData[[#This Row],[QUANTITY]]*(1-InputData[[#This Row],[DISCOUNT %]])</f>
        <v>99.84</v>
      </c>
      <c r="N107">
        <f>DAY(InputData[[#This Row],[DATE]])</f>
        <v>9</v>
      </c>
      <c r="O107" t="str">
        <f>TEXT(InputData[[#This Row],[DATE]],"mmm")</f>
        <v>May</v>
      </c>
      <c r="P107">
        <f>YEAR(InputData[[#This Row],[DATE]])</f>
        <v>2021</v>
      </c>
    </row>
    <row r="108" spans="1:16" x14ac:dyDescent="0.3">
      <c r="A108" s="3">
        <v>44325</v>
      </c>
      <c r="B108" s="4" t="s">
        <v>65</v>
      </c>
      <c r="C108" s="5">
        <v>8</v>
      </c>
      <c r="D108" s="5" t="s">
        <v>108</v>
      </c>
      <c r="E108" s="5" t="s">
        <v>107</v>
      </c>
      <c r="F108" s="6">
        <v>0</v>
      </c>
      <c r="G108" t="str">
        <f>VLOOKUP(InputData[[#This Row],[PRODUCT ID]],MasterData[],2,)</f>
        <v>Product28</v>
      </c>
      <c r="H108" t="str">
        <f>VLOOKUP(InputData[[#This Row],[PRODUCT ID]],MasterData[],3,)</f>
        <v>Category04</v>
      </c>
      <c r="I108" t="str">
        <f>VLOOKUP(InputData[[#This Row],[PRODUCT ID]],MasterData[],4,)</f>
        <v>No.</v>
      </c>
      <c r="J108" s="7">
        <f>VLOOKUP(InputData[[#This Row],[PRODUCT ID]],MasterData[],5,)</f>
        <v>37</v>
      </c>
      <c r="K108" s="7">
        <f>VLOOKUP(InputData[[#This Row],[PRODUCT ID]],MasterData[],6,)</f>
        <v>41.81</v>
      </c>
      <c r="L108" s="7">
        <f>InputData[[#This Row],[BUYING PRIZE]]*InputData[[#This Row],[QUANTITY]]</f>
        <v>296</v>
      </c>
      <c r="M108" s="7">
        <f>InputData[[#This Row],[SELLING PRICE]]*InputData[[#This Row],[QUANTITY]]*(1-InputData[[#This Row],[DISCOUNT %]])</f>
        <v>334.48</v>
      </c>
      <c r="N108">
        <f>DAY(InputData[[#This Row],[DATE]])</f>
        <v>9</v>
      </c>
      <c r="O108" t="str">
        <f>TEXT(InputData[[#This Row],[DATE]],"mmm")</f>
        <v>May</v>
      </c>
      <c r="P108">
        <f>YEAR(InputData[[#This Row],[DATE]])</f>
        <v>2021</v>
      </c>
    </row>
    <row r="109" spans="1:16" x14ac:dyDescent="0.3">
      <c r="A109" s="3">
        <v>44328</v>
      </c>
      <c r="B109" s="4" t="s">
        <v>39</v>
      </c>
      <c r="C109" s="5">
        <v>3</v>
      </c>
      <c r="D109" s="5" t="s">
        <v>108</v>
      </c>
      <c r="E109" s="5" t="s">
        <v>106</v>
      </c>
      <c r="F109" s="6">
        <v>0</v>
      </c>
      <c r="G109" t="str">
        <f>VLOOKUP(InputData[[#This Row],[PRODUCT ID]],MasterData[],2,)</f>
        <v>Product16</v>
      </c>
      <c r="H109" t="str">
        <f>VLOOKUP(InputData[[#This Row],[PRODUCT ID]],MasterData[],3,)</f>
        <v>Category02</v>
      </c>
      <c r="I109" t="str">
        <f>VLOOKUP(InputData[[#This Row],[PRODUCT ID]],MasterData[],4,)</f>
        <v>No.</v>
      </c>
      <c r="J109" s="7">
        <f>VLOOKUP(InputData[[#This Row],[PRODUCT ID]],MasterData[],5,)</f>
        <v>13</v>
      </c>
      <c r="K109" s="7">
        <f>VLOOKUP(InputData[[#This Row],[PRODUCT ID]],MasterData[],6,)</f>
        <v>16.64</v>
      </c>
      <c r="L109" s="7">
        <f>InputData[[#This Row],[BUYING PRIZE]]*InputData[[#This Row],[QUANTITY]]</f>
        <v>39</v>
      </c>
      <c r="M109" s="7">
        <f>InputData[[#This Row],[SELLING PRICE]]*InputData[[#This Row],[QUANTITY]]*(1-InputData[[#This Row],[DISCOUNT %]])</f>
        <v>49.92</v>
      </c>
      <c r="N109">
        <f>DAY(InputData[[#This Row],[DATE]])</f>
        <v>12</v>
      </c>
      <c r="O109" t="str">
        <f>TEXT(InputData[[#This Row],[DATE]],"mmm")</f>
        <v>May</v>
      </c>
      <c r="P109">
        <f>YEAR(InputData[[#This Row],[DATE]])</f>
        <v>2021</v>
      </c>
    </row>
    <row r="110" spans="1:16" x14ac:dyDescent="0.3">
      <c r="A110" s="3">
        <v>44328</v>
      </c>
      <c r="B110" s="4" t="s">
        <v>79</v>
      </c>
      <c r="C110" s="5">
        <v>15</v>
      </c>
      <c r="D110" s="5" t="s">
        <v>108</v>
      </c>
      <c r="E110" s="5" t="s">
        <v>106</v>
      </c>
      <c r="F110" s="6">
        <v>0</v>
      </c>
      <c r="G110" t="str">
        <f>VLOOKUP(InputData[[#This Row],[PRODUCT ID]],MasterData[],2,)</f>
        <v>Product35</v>
      </c>
      <c r="H110" t="str">
        <f>VLOOKUP(InputData[[#This Row],[PRODUCT ID]],MasterData[],3,)</f>
        <v>Category04</v>
      </c>
      <c r="I110" t="str">
        <f>VLOOKUP(InputData[[#This Row],[PRODUCT ID]],MasterData[],4,)</f>
        <v>No.</v>
      </c>
      <c r="J110" s="7">
        <f>VLOOKUP(InputData[[#This Row],[PRODUCT ID]],MasterData[],5,)</f>
        <v>5</v>
      </c>
      <c r="K110" s="7">
        <f>VLOOKUP(InputData[[#This Row],[PRODUCT ID]],MasterData[],6,)</f>
        <v>6.7</v>
      </c>
      <c r="L110" s="7">
        <f>InputData[[#This Row],[BUYING PRIZE]]*InputData[[#This Row],[QUANTITY]]</f>
        <v>75</v>
      </c>
      <c r="M110" s="7">
        <f>InputData[[#This Row],[SELLING PRICE]]*InputData[[#This Row],[QUANTITY]]*(1-InputData[[#This Row],[DISCOUNT %]])</f>
        <v>100.5</v>
      </c>
      <c r="N110">
        <f>DAY(InputData[[#This Row],[DATE]])</f>
        <v>12</v>
      </c>
      <c r="O110" t="str">
        <f>TEXT(InputData[[#This Row],[DATE]],"mmm")</f>
        <v>May</v>
      </c>
      <c r="P110">
        <f>YEAR(InputData[[#This Row],[DATE]])</f>
        <v>2021</v>
      </c>
    </row>
    <row r="111" spans="1:16" x14ac:dyDescent="0.3">
      <c r="A111" s="3">
        <v>44329</v>
      </c>
      <c r="B111" s="4" t="s">
        <v>67</v>
      </c>
      <c r="C111" s="5">
        <v>4</v>
      </c>
      <c r="D111" s="5" t="s">
        <v>108</v>
      </c>
      <c r="E111" s="5" t="s">
        <v>106</v>
      </c>
      <c r="F111" s="6">
        <v>0</v>
      </c>
      <c r="G111" t="str">
        <f>VLOOKUP(InputData[[#This Row],[PRODUCT ID]],MasterData[],2,)</f>
        <v>Product29</v>
      </c>
      <c r="H111" t="str">
        <f>VLOOKUP(InputData[[#This Row],[PRODUCT ID]],MasterData[],3,)</f>
        <v>Category04</v>
      </c>
      <c r="I111" t="str">
        <f>VLOOKUP(InputData[[#This Row],[PRODUCT ID]],MasterData[],4,)</f>
        <v>Lt</v>
      </c>
      <c r="J111" s="7">
        <f>VLOOKUP(InputData[[#This Row],[PRODUCT ID]],MasterData[],5,)</f>
        <v>47</v>
      </c>
      <c r="K111" s="7">
        <f>VLOOKUP(InputData[[#This Row],[PRODUCT ID]],MasterData[],6,)</f>
        <v>53.11</v>
      </c>
      <c r="L111" s="7">
        <f>InputData[[#This Row],[BUYING PRIZE]]*InputData[[#This Row],[QUANTITY]]</f>
        <v>188</v>
      </c>
      <c r="M111" s="7">
        <f>InputData[[#This Row],[SELLING PRICE]]*InputData[[#This Row],[QUANTITY]]*(1-InputData[[#This Row],[DISCOUNT %]])</f>
        <v>212.44</v>
      </c>
      <c r="N111">
        <f>DAY(InputData[[#This Row],[DATE]])</f>
        <v>13</v>
      </c>
      <c r="O111" t="str">
        <f>TEXT(InputData[[#This Row],[DATE]],"mmm")</f>
        <v>May</v>
      </c>
      <c r="P111">
        <f>YEAR(InputData[[#This Row],[DATE]])</f>
        <v>2021</v>
      </c>
    </row>
    <row r="112" spans="1:16" x14ac:dyDescent="0.3">
      <c r="A112" s="3">
        <v>44336</v>
      </c>
      <c r="B112" s="4" t="s">
        <v>94</v>
      </c>
      <c r="C112" s="5">
        <v>2</v>
      </c>
      <c r="D112" s="5" t="s">
        <v>106</v>
      </c>
      <c r="E112" s="5" t="s">
        <v>107</v>
      </c>
      <c r="F112" s="6">
        <v>0</v>
      </c>
      <c r="G112" t="str">
        <f>VLOOKUP(InputData[[#This Row],[PRODUCT ID]],MasterData[],2,)</f>
        <v>Product42</v>
      </c>
      <c r="H112" t="str">
        <f>VLOOKUP(InputData[[#This Row],[PRODUCT ID]],MasterData[],3,)</f>
        <v>Category05</v>
      </c>
      <c r="I112" t="str">
        <f>VLOOKUP(InputData[[#This Row],[PRODUCT ID]],MasterData[],4,)</f>
        <v>Ft</v>
      </c>
      <c r="J112" s="7">
        <f>VLOOKUP(InputData[[#This Row],[PRODUCT ID]],MasterData[],5,)</f>
        <v>120</v>
      </c>
      <c r="K112" s="7">
        <f>VLOOKUP(InputData[[#This Row],[PRODUCT ID]],MasterData[],6,)</f>
        <v>162</v>
      </c>
      <c r="L112" s="7">
        <f>InputData[[#This Row],[BUYING PRIZE]]*InputData[[#This Row],[QUANTITY]]</f>
        <v>240</v>
      </c>
      <c r="M112" s="7">
        <f>InputData[[#This Row],[SELLING PRICE]]*InputData[[#This Row],[QUANTITY]]*(1-InputData[[#This Row],[DISCOUNT %]])</f>
        <v>324</v>
      </c>
      <c r="N112">
        <f>DAY(InputData[[#This Row],[DATE]])</f>
        <v>20</v>
      </c>
      <c r="O112" t="str">
        <f>TEXT(InputData[[#This Row],[DATE]],"mmm")</f>
        <v>May</v>
      </c>
      <c r="P112">
        <f>YEAR(InputData[[#This Row],[DATE]])</f>
        <v>2021</v>
      </c>
    </row>
    <row r="113" spans="1:16" x14ac:dyDescent="0.3">
      <c r="A113" s="3">
        <v>44339</v>
      </c>
      <c r="B113" s="4" t="s">
        <v>90</v>
      </c>
      <c r="C113" s="5">
        <v>11</v>
      </c>
      <c r="D113" s="5" t="s">
        <v>108</v>
      </c>
      <c r="E113" s="5" t="s">
        <v>106</v>
      </c>
      <c r="F113" s="6">
        <v>0</v>
      </c>
      <c r="G113" t="str">
        <f>VLOOKUP(InputData[[#This Row],[PRODUCT ID]],MasterData[],2,)</f>
        <v>Product40</v>
      </c>
      <c r="H113" t="str">
        <f>VLOOKUP(InputData[[#This Row],[PRODUCT ID]],MasterData[],3,)</f>
        <v>Category05</v>
      </c>
      <c r="I113" t="str">
        <f>VLOOKUP(InputData[[#This Row],[PRODUCT ID]],MasterData[],4,)</f>
        <v>Kg</v>
      </c>
      <c r="J113" s="7">
        <f>VLOOKUP(InputData[[#This Row],[PRODUCT ID]],MasterData[],5,)</f>
        <v>90</v>
      </c>
      <c r="K113" s="7">
        <f>VLOOKUP(InputData[[#This Row],[PRODUCT ID]],MasterData[],6,)</f>
        <v>115.2</v>
      </c>
      <c r="L113" s="7">
        <f>InputData[[#This Row],[BUYING PRIZE]]*InputData[[#This Row],[QUANTITY]]</f>
        <v>990</v>
      </c>
      <c r="M113" s="7">
        <f>InputData[[#This Row],[SELLING PRICE]]*InputData[[#This Row],[QUANTITY]]*(1-InputData[[#This Row],[DISCOUNT %]])</f>
        <v>1267.2</v>
      </c>
      <c r="N113">
        <f>DAY(InputData[[#This Row],[DATE]])</f>
        <v>23</v>
      </c>
      <c r="O113" t="str">
        <f>TEXT(InputData[[#This Row],[DATE]],"mmm")</f>
        <v>May</v>
      </c>
      <c r="P113">
        <f>YEAR(InputData[[#This Row],[DATE]])</f>
        <v>2021</v>
      </c>
    </row>
    <row r="114" spans="1:16" x14ac:dyDescent="0.3">
      <c r="A114" s="3">
        <v>44346</v>
      </c>
      <c r="B114" s="4" t="s">
        <v>54</v>
      </c>
      <c r="C114" s="5">
        <v>13</v>
      </c>
      <c r="D114" s="5" t="s">
        <v>106</v>
      </c>
      <c r="E114" s="5" t="s">
        <v>106</v>
      </c>
      <c r="F114" s="6">
        <v>0</v>
      </c>
      <c r="G114" t="str">
        <f>VLOOKUP(InputData[[#This Row],[PRODUCT ID]],MasterData[],2,)</f>
        <v>Product23</v>
      </c>
      <c r="H114" t="str">
        <f>VLOOKUP(InputData[[#This Row],[PRODUCT ID]],MasterData[],3,)</f>
        <v>Category03</v>
      </c>
      <c r="I114" t="str">
        <f>VLOOKUP(InputData[[#This Row],[PRODUCT ID]],MasterData[],4,)</f>
        <v>Ft</v>
      </c>
      <c r="J114" s="7">
        <f>VLOOKUP(InputData[[#This Row],[PRODUCT ID]],MasterData[],5,)</f>
        <v>141</v>
      </c>
      <c r="K114" s="7">
        <f>VLOOKUP(InputData[[#This Row],[PRODUCT ID]],MasterData[],6,)</f>
        <v>149.46</v>
      </c>
      <c r="L114" s="7">
        <f>InputData[[#This Row],[BUYING PRIZE]]*InputData[[#This Row],[QUANTITY]]</f>
        <v>1833</v>
      </c>
      <c r="M114" s="7">
        <f>InputData[[#This Row],[SELLING PRICE]]*InputData[[#This Row],[QUANTITY]]*(1-InputData[[#This Row],[DISCOUNT %]])</f>
        <v>1942.98</v>
      </c>
      <c r="N114">
        <f>DAY(InputData[[#This Row],[DATE]])</f>
        <v>30</v>
      </c>
      <c r="O114" t="str">
        <f>TEXT(InputData[[#This Row],[DATE]],"mmm")</f>
        <v>May</v>
      </c>
      <c r="P114">
        <f>YEAR(InputData[[#This Row],[DATE]])</f>
        <v>2021</v>
      </c>
    </row>
    <row r="115" spans="1:16" x14ac:dyDescent="0.3">
      <c r="A115" s="3">
        <v>44346</v>
      </c>
      <c r="B115" s="4" t="s">
        <v>33</v>
      </c>
      <c r="C115" s="5">
        <v>6</v>
      </c>
      <c r="D115" s="5" t="s">
        <v>106</v>
      </c>
      <c r="E115" s="5" t="s">
        <v>107</v>
      </c>
      <c r="F115" s="6">
        <v>0</v>
      </c>
      <c r="G115" t="str">
        <f>VLOOKUP(InputData[[#This Row],[PRODUCT ID]],MasterData[],2,)</f>
        <v>Product13</v>
      </c>
      <c r="H115" t="str">
        <f>VLOOKUP(InputData[[#This Row],[PRODUCT ID]],MasterData[],3,)</f>
        <v>Category02</v>
      </c>
      <c r="I115" t="str">
        <f>VLOOKUP(InputData[[#This Row],[PRODUCT ID]],MasterData[],4,)</f>
        <v>Kg</v>
      </c>
      <c r="J115" s="7">
        <f>VLOOKUP(InputData[[#This Row],[PRODUCT ID]],MasterData[],5,)</f>
        <v>112</v>
      </c>
      <c r="K115" s="7">
        <f>VLOOKUP(InputData[[#This Row],[PRODUCT ID]],MasterData[],6,)</f>
        <v>122.08</v>
      </c>
      <c r="L115" s="7">
        <f>InputData[[#This Row],[BUYING PRIZE]]*InputData[[#This Row],[QUANTITY]]</f>
        <v>672</v>
      </c>
      <c r="M115" s="7">
        <f>InputData[[#This Row],[SELLING PRICE]]*InputData[[#This Row],[QUANTITY]]*(1-InputData[[#This Row],[DISCOUNT %]])</f>
        <v>732.48</v>
      </c>
      <c r="N115">
        <f>DAY(InputData[[#This Row],[DATE]])</f>
        <v>30</v>
      </c>
      <c r="O115" t="str">
        <f>TEXT(InputData[[#This Row],[DATE]],"mmm")</f>
        <v>May</v>
      </c>
      <c r="P115">
        <f>YEAR(InputData[[#This Row],[DATE]])</f>
        <v>2021</v>
      </c>
    </row>
    <row r="116" spans="1:16" x14ac:dyDescent="0.3">
      <c r="A116" s="3">
        <v>44350</v>
      </c>
      <c r="B116" s="4" t="s">
        <v>50</v>
      </c>
      <c r="C116" s="5">
        <v>10</v>
      </c>
      <c r="D116" s="5" t="s">
        <v>108</v>
      </c>
      <c r="E116" s="5" t="s">
        <v>107</v>
      </c>
      <c r="F116" s="6">
        <v>0</v>
      </c>
      <c r="G116" t="str">
        <f>VLOOKUP(InputData[[#This Row],[PRODUCT ID]],MasterData[],2,)</f>
        <v>Product21</v>
      </c>
      <c r="H116" t="str">
        <f>VLOOKUP(InputData[[#This Row],[PRODUCT ID]],MasterData[],3,)</f>
        <v>Category03</v>
      </c>
      <c r="I116" t="str">
        <f>VLOOKUP(InputData[[#This Row],[PRODUCT ID]],MasterData[],4,)</f>
        <v>Ft</v>
      </c>
      <c r="J116" s="7">
        <f>VLOOKUP(InputData[[#This Row],[PRODUCT ID]],MasterData[],5,)</f>
        <v>126</v>
      </c>
      <c r="K116" s="7">
        <f>VLOOKUP(InputData[[#This Row],[PRODUCT ID]],MasterData[],6,)</f>
        <v>162.54</v>
      </c>
      <c r="L116" s="7">
        <f>InputData[[#This Row],[BUYING PRIZE]]*InputData[[#This Row],[QUANTITY]]</f>
        <v>1260</v>
      </c>
      <c r="M116" s="7">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3">
      <c r="A117" s="3">
        <v>44351</v>
      </c>
      <c r="B117" s="4" t="s">
        <v>47</v>
      </c>
      <c r="C117" s="5">
        <v>8</v>
      </c>
      <c r="D117" s="5" t="s">
        <v>105</v>
      </c>
      <c r="E117" s="5" t="s">
        <v>106</v>
      </c>
      <c r="F117" s="6">
        <v>0</v>
      </c>
      <c r="G117" t="str">
        <f>VLOOKUP(InputData[[#This Row],[PRODUCT ID]],MasterData[],2,)</f>
        <v>Product20</v>
      </c>
      <c r="H117" t="str">
        <f>VLOOKUP(InputData[[#This Row],[PRODUCT ID]],MasterData[],3,)</f>
        <v>Category03</v>
      </c>
      <c r="I117" t="str">
        <f>VLOOKUP(InputData[[#This Row],[PRODUCT ID]],MasterData[],4,)</f>
        <v>Lt</v>
      </c>
      <c r="J117" s="7">
        <f>VLOOKUP(InputData[[#This Row],[PRODUCT ID]],MasterData[],5,)</f>
        <v>61</v>
      </c>
      <c r="K117" s="7">
        <f>VLOOKUP(InputData[[#This Row],[PRODUCT ID]],MasterData[],6,)</f>
        <v>76.25</v>
      </c>
      <c r="L117" s="7">
        <f>InputData[[#This Row],[BUYING PRIZE]]*InputData[[#This Row],[QUANTITY]]</f>
        <v>488</v>
      </c>
      <c r="M117" s="7">
        <f>InputData[[#This Row],[SELLING PRICE]]*InputData[[#This Row],[QUANTITY]]*(1-InputData[[#This Row],[DISCOUNT %]])</f>
        <v>610</v>
      </c>
      <c r="N117">
        <f>DAY(InputData[[#This Row],[DATE]])</f>
        <v>4</v>
      </c>
      <c r="O117" t="str">
        <f>TEXT(InputData[[#This Row],[DATE]],"mmm")</f>
        <v>Jun</v>
      </c>
      <c r="P117">
        <f>YEAR(InputData[[#This Row],[DATE]])</f>
        <v>2021</v>
      </c>
    </row>
    <row r="118" spans="1:16" x14ac:dyDescent="0.3">
      <c r="A118" s="3">
        <v>44351</v>
      </c>
      <c r="B118" s="4" t="s">
        <v>47</v>
      </c>
      <c r="C118" s="5">
        <v>12</v>
      </c>
      <c r="D118" s="5" t="s">
        <v>106</v>
      </c>
      <c r="E118" s="5" t="s">
        <v>107</v>
      </c>
      <c r="F118" s="6">
        <v>0</v>
      </c>
      <c r="G118" t="str">
        <f>VLOOKUP(InputData[[#This Row],[PRODUCT ID]],MasterData[],2,)</f>
        <v>Product20</v>
      </c>
      <c r="H118" t="str">
        <f>VLOOKUP(InputData[[#This Row],[PRODUCT ID]],MasterData[],3,)</f>
        <v>Category03</v>
      </c>
      <c r="I118" t="str">
        <f>VLOOKUP(InputData[[#This Row],[PRODUCT ID]],MasterData[],4,)</f>
        <v>Lt</v>
      </c>
      <c r="J118" s="7">
        <f>VLOOKUP(InputData[[#This Row],[PRODUCT ID]],MasterData[],5,)</f>
        <v>61</v>
      </c>
      <c r="K118" s="7">
        <f>VLOOKUP(InputData[[#This Row],[PRODUCT ID]],MasterData[],6,)</f>
        <v>76.25</v>
      </c>
      <c r="L118" s="7">
        <f>InputData[[#This Row],[BUYING PRIZE]]*InputData[[#This Row],[QUANTITY]]</f>
        <v>732</v>
      </c>
      <c r="M118" s="7">
        <f>InputData[[#This Row],[SELLING PRICE]]*InputData[[#This Row],[QUANTITY]]*(1-InputData[[#This Row],[DISCOUNT %]])</f>
        <v>915</v>
      </c>
      <c r="N118">
        <f>DAY(InputData[[#This Row],[DATE]])</f>
        <v>4</v>
      </c>
      <c r="O118" t="str">
        <f>TEXT(InputData[[#This Row],[DATE]],"mmm")</f>
        <v>Jun</v>
      </c>
      <c r="P118">
        <f>YEAR(InputData[[#This Row],[DATE]])</f>
        <v>2021</v>
      </c>
    </row>
    <row r="119" spans="1:16" x14ac:dyDescent="0.3">
      <c r="A119" s="3">
        <v>44352</v>
      </c>
      <c r="B119" s="4" t="s">
        <v>52</v>
      </c>
      <c r="C119" s="5">
        <v>15</v>
      </c>
      <c r="D119" s="5" t="s">
        <v>105</v>
      </c>
      <c r="E119" s="5" t="s">
        <v>106</v>
      </c>
      <c r="F119" s="6">
        <v>0</v>
      </c>
      <c r="G119" t="str">
        <f>VLOOKUP(InputData[[#This Row],[PRODUCT ID]],MasterData[],2,)</f>
        <v>Product22</v>
      </c>
      <c r="H119" t="str">
        <f>VLOOKUP(InputData[[#This Row],[PRODUCT ID]],MasterData[],3,)</f>
        <v>Category03</v>
      </c>
      <c r="I119" t="str">
        <f>VLOOKUP(InputData[[#This Row],[PRODUCT ID]],MasterData[],4,)</f>
        <v>Ft</v>
      </c>
      <c r="J119" s="7">
        <f>VLOOKUP(InputData[[#This Row],[PRODUCT ID]],MasterData[],5,)</f>
        <v>121</v>
      </c>
      <c r="K119" s="7">
        <f>VLOOKUP(InputData[[#This Row],[PRODUCT ID]],MasterData[],6,)</f>
        <v>141.57</v>
      </c>
      <c r="L119" s="7">
        <f>InputData[[#This Row],[BUYING PRIZE]]*InputData[[#This Row],[QUANTITY]]</f>
        <v>1815</v>
      </c>
      <c r="M119" s="7">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3">
      <c r="A120" s="3">
        <v>44352</v>
      </c>
      <c r="B120" s="4" t="s">
        <v>79</v>
      </c>
      <c r="C120" s="5">
        <v>10</v>
      </c>
      <c r="D120" s="5" t="s">
        <v>108</v>
      </c>
      <c r="E120" s="5" t="s">
        <v>106</v>
      </c>
      <c r="F120" s="6">
        <v>0</v>
      </c>
      <c r="G120" t="str">
        <f>VLOOKUP(InputData[[#This Row],[PRODUCT ID]],MasterData[],2,)</f>
        <v>Product35</v>
      </c>
      <c r="H120" t="str">
        <f>VLOOKUP(InputData[[#This Row],[PRODUCT ID]],MasterData[],3,)</f>
        <v>Category04</v>
      </c>
      <c r="I120" t="str">
        <f>VLOOKUP(InputData[[#This Row],[PRODUCT ID]],MasterData[],4,)</f>
        <v>No.</v>
      </c>
      <c r="J120" s="7">
        <f>VLOOKUP(InputData[[#This Row],[PRODUCT ID]],MasterData[],5,)</f>
        <v>5</v>
      </c>
      <c r="K120" s="7">
        <f>VLOOKUP(InputData[[#This Row],[PRODUCT ID]],MasterData[],6,)</f>
        <v>6.7</v>
      </c>
      <c r="L120" s="7">
        <f>InputData[[#This Row],[BUYING PRIZE]]*InputData[[#This Row],[QUANTITY]]</f>
        <v>50</v>
      </c>
      <c r="M120" s="7">
        <f>InputData[[#This Row],[SELLING PRICE]]*InputData[[#This Row],[QUANTITY]]*(1-InputData[[#This Row],[DISCOUNT %]])</f>
        <v>67</v>
      </c>
      <c r="N120">
        <f>DAY(InputData[[#This Row],[DATE]])</f>
        <v>5</v>
      </c>
      <c r="O120" t="str">
        <f>TEXT(InputData[[#This Row],[DATE]],"mmm")</f>
        <v>Jun</v>
      </c>
      <c r="P120">
        <f>YEAR(InputData[[#This Row],[DATE]])</f>
        <v>2021</v>
      </c>
    </row>
    <row r="121" spans="1:16" x14ac:dyDescent="0.3">
      <c r="A121" s="3">
        <v>44353</v>
      </c>
      <c r="B121" s="4" t="s">
        <v>75</v>
      </c>
      <c r="C121" s="5">
        <v>6</v>
      </c>
      <c r="D121" s="5" t="s">
        <v>108</v>
      </c>
      <c r="E121" s="5" t="s">
        <v>106</v>
      </c>
      <c r="F121" s="6">
        <v>0</v>
      </c>
      <c r="G121" t="str">
        <f>VLOOKUP(InputData[[#This Row],[PRODUCT ID]],MasterData[],2,)</f>
        <v>Product33</v>
      </c>
      <c r="H121" t="str">
        <f>VLOOKUP(InputData[[#This Row],[PRODUCT ID]],MasterData[],3,)</f>
        <v>Category04</v>
      </c>
      <c r="I121" t="str">
        <f>VLOOKUP(InputData[[#This Row],[PRODUCT ID]],MasterData[],4,)</f>
        <v>Kg</v>
      </c>
      <c r="J121" s="7">
        <f>VLOOKUP(InputData[[#This Row],[PRODUCT ID]],MasterData[],5,)</f>
        <v>95</v>
      </c>
      <c r="K121" s="7">
        <f>VLOOKUP(InputData[[#This Row],[PRODUCT ID]],MasterData[],6,)</f>
        <v>119.7</v>
      </c>
      <c r="L121" s="7">
        <f>InputData[[#This Row],[BUYING PRIZE]]*InputData[[#This Row],[QUANTITY]]</f>
        <v>570</v>
      </c>
      <c r="M121" s="7">
        <f>InputData[[#This Row],[SELLING PRICE]]*InputData[[#This Row],[QUANTITY]]*(1-InputData[[#This Row],[DISCOUNT %]])</f>
        <v>718.2</v>
      </c>
      <c r="N121">
        <f>DAY(InputData[[#This Row],[DATE]])</f>
        <v>6</v>
      </c>
      <c r="O121" t="str">
        <f>TEXT(InputData[[#This Row],[DATE]],"mmm")</f>
        <v>Jun</v>
      </c>
      <c r="P121">
        <f>YEAR(InputData[[#This Row],[DATE]])</f>
        <v>2021</v>
      </c>
    </row>
    <row r="122" spans="1:16" x14ac:dyDescent="0.3">
      <c r="A122" s="3">
        <v>44355</v>
      </c>
      <c r="B122" s="4" t="s">
        <v>65</v>
      </c>
      <c r="C122" s="5">
        <v>11</v>
      </c>
      <c r="D122" s="5" t="s">
        <v>108</v>
      </c>
      <c r="E122" s="5" t="s">
        <v>106</v>
      </c>
      <c r="F122" s="6">
        <v>0</v>
      </c>
      <c r="G122" t="str">
        <f>VLOOKUP(InputData[[#This Row],[PRODUCT ID]],MasterData[],2,)</f>
        <v>Product28</v>
      </c>
      <c r="H122" t="str">
        <f>VLOOKUP(InputData[[#This Row],[PRODUCT ID]],MasterData[],3,)</f>
        <v>Category04</v>
      </c>
      <c r="I122" t="str">
        <f>VLOOKUP(InputData[[#This Row],[PRODUCT ID]],MasterData[],4,)</f>
        <v>No.</v>
      </c>
      <c r="J122" s="7">
        <f>VLOOKUP(InputData[[#This Row],[PRODUCT ID]],MasterData[],5,)</f>
        <v>37</v>
      </c>
      <c r="K122" s="7">
        <f>VLOOKUP(InputData[[#This Row],[PRODUCT ID]],MasterData[],6,)</f>
        <v>41.81</v>
      </c>
      <c r="L122" s="7">
        <f>InputData[[#This Row],[BUYING PRIZE]]*InputData[[#This Row],[QUANTITY]]</f>
        <v>407</v>
      </c>
      <c r="M122" s="7">
        <f>InputData[[#This Row],[SELLING PRICE]]*InputData[[#This Row],[QUANTITY]]*(1-InputData[[#This Row],[DISCOUNT %]])</f>
        <v>459.91</v>
      </c>
      <c r="N122">
        <f>DAY(InputData[[#This Row],[DATE]])</f>
        <v>8</v>
      </c>
      <c r="O122" t="str">
        <f>TEXT(InputData[[#This Row],[DATE]],"mmm")</f>
        <v>Jun</v>
      </c>
      <c r="P122">
        <f>YEAR(InputData[[#This Row],[DATE]])</f>
        <v>2021</v>
      </c>
    </row>
    <row r="123" spans="1:16" x14ac:dyDescent="0.3">
      <c r="A123" s="3">
        <v>44355</v>
      </c>
      <c r="B123" s="4" t="s">
        <v>14</v>
      </c>
      <c r="C123" s="5">
        <v>11</v>
      </c>
      <c r="D123" s="5" t="s">
        <v>105</v>
      </c>
      <c r="E123" s="5" t="s">
        <v>107</v>
      </c>
      <c r="F123" s="6">
        <v>0</v>
      </c>
      <c r="G123" t="str">
        <f>VLOOKUP(InputData[[#This Row],[PRODUCT ID]],MasterData[],2,)</f>
        <v>Product04</v>
      </c>
      <c r="H123" t="str">
        <f>VLOOKUP(InputData[[#This Row],[PRODUCT ID]],MasterData[],3,)</f>
        <v>Category01</v>
      </c>
      <c r="I123" t="str">
        <f>VLOOKUP(InputData[[#This Row],[PRODUCT ID]],MasterData[],4,)</f>
        <v>Lt</v>
      </c>
      <c r="J123" s="7">
        <f>VLOOKUP(InputData[[#This Row],[PRODUCT ID]],MasterData[],5,)</f>
        <v>44</v>
      </c>
      <c r="K123" s="7">
        <f>VLOOKUP(InputData[[#This Row],[PRODUCT ID]],MasterData[],6,)</f>
        <v>48.84</v>
      </c>
      <c r="L123" s="7">
        <f>InputData[[#This Row],[BUYING PRIZE]]*InputData[[#This Row],[QUANTITY]]</f>
        <v>484</v>
      </c>
      <c r="M123" s="7">
        <f>InputData[[#This Row],[SELLING PRICE]]*InputData[[#This Row],[QUANTITY]]*(1-InputData[[#This Row],[DISCOUNT %]])</f>
        <v>537.24</v>
      </c>
      <c r="N123">
        <f>DAY(InputData[[#This Row],[DATE]])</f>
        <v>8</v>
      </c>
      <c r="O123" t="str">
        <f>TEXT(InputData[[#This Row],[DATE]],"mmm")</f>
        <v>Jun</v>
      </c>
      <c r="P123">
        <f>YEAR(InputData[[#This Row],[DATE]])</f>
        <v>2021</v>
      </c>
    </row>
    <row r="124" spans="1:16" x14ac:dyDescent="0.3">
      <c r="A124" s="3">
        <v>44356</v>
      </c>
      <c r="B124" s="4" t="s">
        <v>6</v>
      </c>
      <c r="C124" s="5">
        <v>7</v>
      </c>
      <c r="D124" s="5" t="s">
        <v>108</v>
      </c>
      <c r="E124" s="5" t="s">
        <v>106</v>
      </c>
      <c r="F124" s="6">
        <v>0</v>
      </c>
      <c r="G124" t="str">
        <f>VLOOKUP(InputData[[#This Row],[PRODUCT ID]],MasterData[],2,)</f>
        <v>Product01</v>
      </c>
      <c r="H124" t="str">
        <f>VLOOKUP(InputData[[#This Row],[PRODUCT ID]],MasterData[],3,)</f>
        <v>Category01</v>
      </c>
      <c r="I124" t="str">
        <f>VLOOKUP(InputData[[#This Row],[PRODUCT ID]],MasterData[],4,)</f>
        <v>Kg</v>
      </c>
      <c r="J124" s="7">
        <f>VLOOKUP(InputData[[#This Row],[PRODUCT ID]],MasterData[],5,)</f>
        <v>98</v>
      </c>
      <c r="K124" s="7">
        <f>VLOOKUP(InputData[[#This Row],[PRODUCT ID]],MasterData[],6,)</f>
        <v>103.88</v>
      </c>
      <c r="L124" s="7">
        <f>InputData[[#This Row],[BUYING PRIZE]]*InputData[[#This Row],[QUANTITY]]</f>
        <v>686</v>
      </c>
      <c r="M124" s="7">
        <f>InputData[[#This Row],[SELLING PRICE]]*InputData[[#This Row],[QUANTITY]]*(1-InputData[[#This Row],[DISCOUNT %]])</f>
        <v>727.16</v>
      </c>
      <c r="N124">
        <f>DAY(InputData[[#This Row],[DATE]])</f>
        <v>9</v>
      </c>
      <c r="O124" t="str">
        <f>TEXT(InputData[[#This Row],[DATE]],"mmm")</f>
        <v>Jun</v>
      </c>
      <c r="P124">
        <f>YEAR(InputData[[#This Row],[DATE]])</f>
        <v>2021</v>
      </c>
    </row>
    <row r="125" spans="1:16" x14ac:dyDescent="0.3">
      <c r="A125" s="3">
        <v>44358</v>
      </c>
      <c r="B125" s="4" t="s">
        <v>73</v>
      </c>
      <c r="C125" s="5">
        <v>12</v>
      </c>
      <c r="D125" s="5" t="s">
        <v>105</v>
      </c>
      <c r="E125" s="5" t="s">
        <v>107</v>
      </c>
      <c r="F125" s="6">
        <v>0</v>
      </c>
      <c r="G125" t="str">
        <f>VLOOKUP(InputData[[#This Row],[PRODUCT ID]],MasterData[],2,)</f>
        <v>Product32</v>
      </c>
      <c r="H125" t="str">
        <f>VLOOKUP(InputData[[#This Row],[PRODUCT ID]],MasterData[],3,)</f>
        <v>Category04</v>
      </c>
      <c r="I125" t="str">
        <f>VLOOKUP(InputData[[#This Row],[PRODUCT ID]],MasterData[],4,)</f>
        <v>Kg</v>
      </c>
      <c r="J125" s="7">
        <f>VLOOKUP(InputData[[#This Row],[PRODUCT ID]],MasterData[],5,)</f>
        <v>89</v>
      </c>
      <c r="K125" s="7">
        <f>VLOOKUP(InputData[[#This Row],[PRODUCT ID]],MasterData[],6,)</f>
        <v>117.48</v>
      </c>
      <c r="L125" s="7">
        <f>InputData[[#This Row],[BUYING PRIZE]]*InputData[[#This Row],[QUANTITY]]</f>
        <v>1068</v>
      </c>
      <c r="M125" s="7">
        <f>InputData[[#This Row],[SELLING PRICE]]*InputData[[#This Row],[QUANTITY]]*(1-InputData[[#This Row],[DISCOUNT %]])</f>
        <v>1409.76</v>
      </c>
      <c r="N125">
        <f>DAY(InputData[[#This Row],[DATE]])</f>
        <v>11</v>
      </c>
      <c r="O125" t="str">
        <f>TEXT(InputData[[#This Row],[DATE]],"mmm")</f>
        <v>Jun</v>
      </c>
      <c r="P125">
        <f>YEAR(InputData[[#This Row],[DATE]])</f>
        <v>2021</v>
      </c>
    </row>
    <row r="126" spans="1:16" x14ac:dyDescent="0.3">
      <c r="A126" s="3">
        <v>44359</v>
      </c>
      <c r="B126" s="4" t="s">
        <v>92</v>
      </c>
      <c r="C126" s="5">
        <v>6</v>
      </c>
      <c r="D126" s="5" t="s">
        <v>108</v>
      </c>
      <c r="E126" s="5" t="s">
        <v>106</v>
      </c>
      <c r="F126" s="6">
        <v>0</v>
      </c>
      <c r="G126" t="str">
        <f>VLOOKUP(InputData[[#This Row],[PRODUCT ID]],MasterData[],2,)</f>
        <v>Product41</v>
      </c>
      <c r="H126" t="str">
        <f>VLOOKUP(InputData[[#This Row],[PRODUCT ID]],MasterData[],3,)</f>
        <v>Category05</v>
      </c>
      <c r="I126" t="str">
        <f>VLOOKUP(InputData[[#This Row],[PRODUCT ID]],MasterData[],4,)</f>
        <v>Ft</v>
      </c>
      <c r="J126" s="7">
        <f>VLOOKUP(InputData[[#This Row],[PRODUCT ID]],MasterData[],5,)</f>
        <v>138</v>
      </c>
      <c r="K126" s="7">
        <f>VLOOKUP(InputData[[#This Row],[PRODUCT ID]],MasterData[],6,)</f>
        <v>173.88</v>
      </c>
      <c r="L126" s="7">
        <f>InputData[[#This Row],[BUYING PRIZE]]*InputData[[#This Row],[QUANTITY]]</f>
        <v>828</v>
      </c>
      <c r="M126" s="7">
        <f>InputData[[#This Row],[SELLING PRICE]]*InputData[[#This Row],[QUANTITY]]*(1-InputData[[#This Row],[DISCOUNT %]])</f>
        <v>1043.28</v>
      </c>
      <c r="N126">
        <f>DAY(InputData[[#This Row],[DATE]])</f>
        <v>12</v>
      </c>
      <c r="O126" t="str">
        <f>TEXT(InputData[[#This Row],[DATE]],"mmm")</f>
        <v>Jun</v>
      </c>
      <c r="P126">
        <f>YEAR(InputData[[#This Row],[DATE]])</f>
        <v>2021</v>
      </c>
    </row>
    <row r="127" spans="1:16" x14ac:dyDescent="0.3">
      <c r="A127" s="3">
        <v>44361</v>
      </c>
      <c r="B127" s="4" t="s">
        <v>58</v>
      </c>
      <c r="C127" s="5">
        <v>10</v>
      </c>
      <c r="D127" s="5" t="s">
        <v>106</v>
      </c>
      <c r="E127" s="5" t="s">
        <v>107</v>
      </c>
      <c r="F127" s="6">
        <v>0</v>
      </c>
      <c r="G127" t="str">
        <f>VLOOKUP(InputData[[#This Row],[PRODUCT ID]],MasterData[],2,)</f>
        <v>Product25</v>
      </c>
      <c r="H127" t="str">
        <f>VLOOKUP(InputData[[#This Row],[PRODUCT ID]],MasterData[],3,)</f>
        <v>Category03</v>
      </c>
      <c r="I127" t="str">
        <f>VLOOKUP(InputData[[#This Row],[PRODUCT ID]],MasterData[],4,)</f>
        <v>No.</v>
      </c>
      <c r="J127" s="7">
        <f>VLOOKUP(InputData[[#This Row],[PRODUCT ID]],MasterData[],5,)</f>
        <v>7</v>
      </c>
      <c r="K127" s="7">
        <f>VLOOKUP(InputData[[#This Row],[PRODUCT ID]],MasterData[],6,)</f>
        <v>8.33</v>
      </c>
      <c r="L127" s="7">
        <f>InputData[[#This Row],[BUYING PRIZE]]*InputData[[#This Row],[QUANTITY]]</f>
        <v>70</v>
      </c>
      <c r="M127" s="7">
        <f>InputData[[#This Row],[SELLING PRICE]]*InputData[[#This Row],[QUANTITY]]*(1-InputData[[#This Row],[DISCOUNT %]])</f>
        <v>83.3</v>
      </c>
      <c r="N127">
        <f>DAY(InputData[[#This Row],[DATE]])</f>
        <v>14</v>
      </c>
      <c r="O127" t="str">
        <f>TEXT(InputData[[#This Row],[DATE]],"mmm")</f>
        <v>Jun</v>
      </c>
      <c r="P127">
        <f>YEAR(InputData[[#This Row],[DATE]])</f>
        <v>2021</v>
      </c>
    </row>
    <row r="128" spans="1:16" x14ac:dyDescent="0.3">
      <c r="A128" s="3">
        <v>44363</v>
      </c>
      <c r="B128" s="4" t="s">
        <v>45</v>
      </c>
      <c r="C128" s="5">
        <v>5</v>
      </c>
      <c r="D128" s="5" t="s">
        <v>105</v>
      </c>
      <c r="E128" s="5" t="s">
        <v>107</v>
      </c>
      <c r="F128" s="6">
        <v>0</v>
      </c>
      <c r="G128" t="str">
        <f>VLOOKUP(InputData[[#This Row],[PRODUCT ID]],MasterData[],2,)</f>
        <v>Product19</v>
      </c>
      <c r="H128" t="str">
        <f>VLOOKUP(InputData[[#This Row],[PRODUCT ID]],MasterData[],3,)</f>
        <v>Category02</v>
      </c>
      <c r="I128" t="str">
        <f>VLOOKUP(InputData[[#This Row],[PRODUCT ID]],MasterData[],4,)</f>
        <v>Ft</v>
      </c>
      <c r="J128" s="7">
        <f>VLOOKUP(InputData[[#This Row],[PRODUCT ID]],MasterData[],5,)</f>
        <v>150</v>
      </c>
      <c r="K128" s="7">
        <f>VLOOKUP(InputData[[#This Row],[PRODUCT ID]],MasterData[],6,)</f>
        <v>210</v>
      </c>
      <c r="L128" s="7">
        <f>InputData[[#This Row],[BUYING PRIZE]]*InputData[[#This Row],[QUANTITY]]</f>
        <v>750</v>
      </c>
      <c r="M128" s="7">
        <f>InputData[[#This Row],[SELLING PRICE]]*InputData[[#This Row],[QUANTITY]]*(1-InputData[[#This Row],[DISCOUNT %]])</f>
        <v>1050</v>
      </c>
      <c r="N128">
        <f>DAY(InputData[[#This Row],[DATE]])</f>
        <v>16</v>
      </c>
      <c r="O128" t="str">
        <f>TEXT(InputData[[#This Row],[DATE]],"mmm")</f>
        <v>Jun</v>
      </c>
      <c r="P128">
        <f>YEAR(InputData[[#This Row],[DATE]])</f>
        <v>2021</v>
      </c>
    </row>
    <row r="129" spans="1:16" x14ac:dyDescent="0.3">
      <c r="A129" s="3">
        <v>44363</v>
      </c>
      <c r="B129" s="4" t="s">
        <v>37</v>
      </c>
      <c r="C129" s="5">
        <v>12</v>
      </c>
      <c r="D129" s="5" t="s">
        <v>106</v>
      </c>
      <c r="E129" s="5" t="s">
        <v>107</v>
      </c>
      <c r="F129" s="6">
        <v>0</v>
      </c>
      <c r="G129" t="str">
        <f>VLOOKUP(InputData[[#This Row],[PRODUCT ID]],MasterData[],2,)</f>
        <v>Product15</v>
      </c>
      <c r="H129" t="str">
        <f>VLOOKUP(InputData[[#This Row],[PRODUCT ID]],MasterData[],3,)</f>
        <v>Category02</v>
      </c>
      <c r="I129" t="str">
        <f>VLOOKUP(InputData[[#This Row],[PRODUCT ID]],MasterData[],4,)</f>
        <v>No.</v>
      </c>
      <c r="J129" s="7">
        <f>VLOOKUP(InputData[[#This Row],[PRODUCT ID]],MasterData[],5,)</f>
        <v>12</v>
      </c>
      <c r="K129" s="7">
        <f>VLOOKUP(InputData[[#This Row],[PRODUCT ID]],MasterData[],6,)</f>
        <v>15.719999999999999</v>
      </c>
      <c r="L129" s="7">
        <f>InputData[[#This Row],[BUYING PRIZE]]*InputData[[#This Row],[QUANTITY]]</f>
        <v>144</v>
      </c>
      <c r="M129" s="7">
        <f>InputData[[#This Row],[SELLING PRICE]]*InputData[[#This Row],[QUANTITY]]*(1-InputData[[#This Row],[DISCOUNT %]])</f>
        <v>188.64</v>
      </c>
      <c r="N129">
        <f>DAY(InputData[[#This Row],[DATE]])</f>
        <v>16</v>
      </c>
      <c r="O129" t="str">
        <f>TEXT(InputData[[#This Row],[DATE]],"mmm")</f>
        <v>Jun</v>
      </c>
      <c r="P129">
        <f>YEAR(InputData[[#This Row],[DATE]])</f>
        <v>2021</v>
      </c>
    </row>
    <row r="130" spans="1:16" x14ac:dyDescent="0.3">
      <c r="A130" s="3">
        <v>44363</v>
      </c>
      <c r="B130" s="4" t="s">
        <v>88</v>
      </c>
      <c r="C130" s="5">
        <v>11</v>
      </c>
      <c r="D130" s="5" t="s">
        <v>108</v>
      </c>
      <c r="E130" s="5" t="s">
        <v>107</v>
      </c>
      <c r="F130" s="6">
        <v>0</v>
      </c>
      <c r="G130" t="str">
        <f>VLOOKUP(InputData[[#This Row],[PRODUCT ID]],MasterData[],2,)</f>
        <v>Product39</v>
      </c>
      <c r="H130" t="str">
        <f>VLOOKUP(InputData[[#This Row],[PRODUCT ID]],MasterData[],3,)</f>
        <v>Category05</v>
      </c>
      <c r="I130" t="str">
        <f>VLOOKUP(InputData[[#This Row],[PRODUCT ID]],MasterData[],4,)</f>
        <v>No.</v>
      </c>
      <c r="J130" s="7">
        <f>VLOOKUP(InputData[[#This Row],[PRODUCT ID]],MasterData[],5,)</f>
        <v>37</v>
      </c>
      <c r="K130" s="7">
        <f>VLOOKUP(InputData[[#This Row],[PRODUCT ID]],MasterData[],6,)</f>
        <v>42.55</v>
      </c>
      <c r="L130" s="7">
        <f>InputData[[#This Row],[BUYING PRIZE]]*InputData[[#This Row],[QUANTITY]]</f>
        <v>407</v>
      </c>
      <c r="M130" s="7">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3">
      <c r="A131" s="3">
        <v>44365</v>
      </c>
      <c r="B131" s="4" t="s">
        <v>58</v>
      </c>
      <c r="C131" s="5">
        <v>13</v>
      </c>
      <c r="D131" s="5" t="s">
        <v>108</v>
      </c>
      <c r="E131" s="5" t="s">
        <v>107</v>
      </c>
      <c r="F131" s="6">
        <v>0</v>
      </c>
      <c r="G131" t="str">
        <f>VLOOKUP(InputData[[#This Row],[PRODUCT ID]],MasterData[],2,)</f>
        <v>Product25</v>
      </c>
      <c r="H131" t="str">
        <f>VLOOKUP(InputData[[#This Row],[PRODUCT ID]],MasterData[],3,)</f>
        <v>Category03</v>
      </c>
      <c r="I131" t="str">
        <f>VLOOKUP(InputData[[#This Row],[PRODUCT ID]],MasterData[],4,)</f>
        <v>No.</v>
      </c>
      <c r="J131" s="7">
        <f>VLOOKUP(InputData[[#This Row],[PRODUCT ID]],MasterData[],5,)</f>
        <v>7</v>
      </c>
      <c r="K131" s="7">
        <f>VLOOKUP(InputData[[#This Row],[PRODUCT ID]],MasterData[],6,)</f>
        <v>8.33</v>
      </c>
      <c r="L131" s="7">
        <f>InputData[[#This Row],[BUYING PRIZE]]*InputData[[#This Row],[QUANTITY]]</f>
        <v>91</v>
      </c>
      <c r="M131" s="7">
        <f>InputData[[#This Row],[SELLING PRICE]]*InputData[[#This Row],[QUANTITY]]*(1-InputData[[#This Row],[DISCOUNT %]])</f>
        <v>108.29</v>
      </c>
      <c r="N131">
        <f>DAY(InputData[[#This Row],[DATE]])</f>
        <v>18</v>
      </c>
      <c r="O131" t="str">
        <f>TEXT(InputData[[#This Row],[DATE]],"mmm")</f>
        <v>Jun</v>
      </c>
      <c r="P131">
        <f>YEAR(InputData[[#This Row],[DATE]])</f>
        <v>2021</v>
      </c>
    </row>
    <row r="132" spans="1:16" x14ac:dyDescent="0.3">
      <c r="A132" s="3">
        <v>44366</v>
      </c>
      <c r="B132" s="4" t="s">
        <v>92</v>
      </c>
      <c r="C132" s="5">
        <v>5</v>
      </c>
      <c r="D132" s="5" t="s">
        <v>108</v>
      </c>
      <c r="E132" s="5" t="s">
        <v>106</v>
      </c>
      <c r="F132" s="6">
        <v>0</v>
      </c>
      <c r="G132" t="str">
        <f>VLOOKUP(InputData[[#This Row],[PRODUCT ID]],MasterData[],2,)</f>
        <v>Product41</v>
      </c>
      <c r="H132" t="str">
        <f>VLOOKUP(InputData[[#This Row],[PRODUCT ID]],MasterData[],3,)</f>
        <v>Category05</v>
      </c>
      <c r="I132" t="str">
        <f>VLOOKUP(InputData[[#This Row],[PRODUCT ID]],MasterData[],4,)</f>
        <v>Ft</v>
      </c>
      <c r="J132" s="7">
        <f>VLOOKUP(InputData[[#This Row],[PRODUCT ID]],MasterData[],5,)</f>
        <v>138</v>
      </c>
      <c r="K132" s="7">
        <f>VLOOKUP(InputData[[#This Row],[PRODUCT ID]],MasterData[],6,)</f>
        <v>173.88</v>
      </c>
      <c r="L132" s="7">
        <f>InputData[[#This Row],[BUYING PRIZE]]*InputData[[#This Row],[QUANTITY]]</f>
        <v>690</v>
      </c>
      <c r="M132" s="7">
        <f>InputData[[#This Row],[SELLING PRICE]]*InputData[[#This Row],[QUANTITY]]*(1-InputData[[#This Row],[DISCOUNT %]])</f>
        <v>869.4</v>
      </c>
      <c r="N132">
        <f>DAY(InputData[[#This Row],[DATE]])</f>
        <v>19</v>
      </c>
      <c r="O132" t="str">
        <f>TEXT(InputData[[#This Row],[DATE]],"mmm")</f>
        <v>Jun</v>
      </c>
      <c r="P132">
        <f>YEAR(InputData[[#This Row],[DATE]])</f>
        <v>2021</v>
      </c>
    </row>
    <row r="133" spans="1:16" x14ac:dyDescent="0.3">
      <c r="A133" s="3">
        <v>44367</v>
      </c>
      <c r="B133" s="4" t="s">
        <v>39</v>
      </c>
      <c r="C133" s="5">
        <v>1</v>
      </c>
      <c r="D133" s="5" t="s">
        <v>105</v>
      </c>
      <c r="E133" s="5" t="s">
        <v>107</v>
      </c>
      <c r="F133" s="6">
        <v>0</v>
      </c>
      <c r="G133" t="str">
        <f>VLOOKUP(InputData[[#This Row],[PRODUCT ID]],MasterData[],2,)</f>
        <v>Product16</v>
      </c>
      <c r="H133" t="str">
        <f>VLOOKUP(InputData[[#This Row],[PRODUCT ID]],MasterData[],3,)</f>
        <v>Category02</v>
      </c>
      <c r="I133" t="str">
        <f>VLOOKUP(InputData[[#This Row],[PRODUCT ID]],MasterData[],4,)</f>
        <v>No.</v>
      </c>
      <c r="J133" s="7">
        <f>VLOOKUP(InputData[[#This Row],[PRODUCT ID]],MasterData[],5,)</f>
        <v>13</v>
      </c>
      <c r="K133" s="7">
        <f>VLOOKUP(InputData[[#This Row],[PRODUCT ID]],MasterData[],6,)</f>
        <v>16.64</v>
      </c>
      <c r="L133" s="7">
        <f>InputData[[#This Row],[BUYING PRIZE]]*InputData[[#This Row],[QUANTITY]]</f>
        <v>13</v>
      </c>
      <c r="M133" s="7">
        <f>InputData[[#This Row],[SELLING PRICE]]*InputData[[#This Row],[QUANTITY]]*(1-InputData[[#This Row],[DISCOUNT %]])</f>
        <v>16.64</v>
      </c>
      <c r="N133">
        <f>DAY(InputData[[#This Row],[DATE]])</f>
        <v>20</v>
      </c>
      <c r="O133" t="str">
        <f>TEXT(InputData[[#This Row],[DATE]],"mmm")</f>
        <v>Jun</v>
      </c>
      <c r="P133">
        <f>YEAR(InputData[[#This Row],[DATE]])</f>
        <v>2021</v>
      </c>
    </row>
    <row r="134" spans="1:16" x14ac:dyDescent="0.3">
      <c r="A134" s="3">
        <v>44370</v>
      </c>
      <c r="B134" s="4" t="s">
        <v>39</v>
      </c>
      <c r="C134" s="5">
        <v>4</v>
      </c>
      <c r="D134" s="5" t="s">
        <v>108</v>
      </c>
      <c r="E134" s="5" t="s">
        <v>106</v>
      </c>
      <c r="F134" s="6">
        <v>0</v>
      </c>
      <c r="G134" t="str">
        <f>VLOOKUP(InputData[[#This Row],[PRODUCT ID]],MasterData[],2,)</f>
        <v>Product16</v>
      </c>
      <c r="H134" t="str">
        <f>VLOOKUP(InputData[[#This Row],[PRODUCT ID]],MasterData[],3,)</f>
        <v>Category02</v>
      </c>
      <c r="I134" t="str">
        <f>VLOOKUP(InputData[[#This Row],[PRODUCT ID]],MasterData[],4,)</f>
        <v>No.</v>
      </c>
      <c r="J134" s="7">
        <f>VLOOKUP(InputData[[#This Row],[PRODUCT ID]],MasterData[],5,)</f>
        <v>13</v>
      </c>
      <c r="K134" s="7">
        <f>VLOOKUP(InputData[[#This Row],[PRODUCT ID]],MasterData[],6,)</f>
        <v>16.64</v>
      </c>
      <c r="L134" s="7">
        <f>InputData[[#This Row],[BUYING PRIZE]]*InputData[[#This Row],[QUANTITY]]</f>
        <v>52</v>
      </c>
      <c r="M134" s="7">
        <f>InputData[[#This Row],[SELLING PRICE]]*InputData[[#This Row],[QUANTITY]]*(1-InputData[[#This Row],[DISCOUNT %]])</f>
        <v>66.56</v>
      </c>
      <c r="N134">
        <f>DAY(InputData[[#This Row],[DATE]])</f>
        <v>23</v>
      </c>
      <c r="O134" t="str">
        <f>TEXT(InputData[[#This Row],[DATE]],"mmm")</f>
        <v>Jun</v>
      </c>
      <c r="P134">
        <f>YEAR(InputData[[#This Row],[DATE]])</f>
        <v>2021</v>
      </c>
    </row>
    <row r="135" spans="1:16" x14ac:dyDescent="0.3">
      <c r="A135" s="3">
        <v>44371</v>
      </c>
      <c r="B135" s="4" t="s">
        <v>29</v>
      </c>
      <c r="C135" s="5">
        <v>13</v>
      </c>
      <c r="D135" s="5" t="s">
        <v>108</v>
      </c>
      <c r="E135" s="5" t="s">
        <v>106</v>
      </c>
      <c r="F135" s="6">
        <v>0</v>
      </c>
      <c r="G135" t="str">
        <f>VLOOKUP(InputData[[#This Row],[PRODUCT ID]],MasterData[],2,)</f>
        <v>Product11</v>
      </c>
      <c r="H135" t="str">
        <f>VLOOKUP(InputData[[#This Row],[PRODUCT ID]],MasterData[],3,)</f>
        <v>Category02</v>
      </c>
      <c r="I135" t="str">
        <f>VLOOKUP(InputData[[#This Row],[PRODUCT ID]],MasterData[],4,)</f>
        <v>Lt</v>
      </c>
      <c r="J135" s="7">
        <f>VLOOKUP(InputData[[#This Row],[PRODUCT ID]],MasterData[],5,)</f>
        <v>44</v>
      </c>
      <c r="K135" s="7">
        <f>VLOOKUP(InputData[[#This Row],[PRODUCT ID]],MasterData[],6,)</f>
        <v>48.4</v>
      </c>
      <c r="L135" s="7">
        <f>InputData[[#This Row],[BUYING PRIZE]]*InputData[[#This Row],[QUANTITY]]</f>
        <v>572</v>
      </c>
      <c r="M135" s="7">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3">
      <c r="A136" s="3">
        <v>44373</v>
      </c>
      <c r="B136" s="4" t="s">
        <v>24</v>
      </c>
      <c r="C136" s="5">
        <v>7</v>
      </c>
      <c r="D136" s="5" t="s">
        <v>106</v>
      </c>
      <c r="E136" s="5" t="s">
        <v>106</v>
      </c>
      <c r="F136" s="6">
        <v>0</v>
      </c>
      <c r="G136" t="str">
        <f>VLOOKUP(InputData[[#This Row],[PRODUCT ID]],MasterData[],2,)</f>
        <v>Product09</v>
      </c>
      <c r="H136" t="str">
        <f>VLOOKUP(InputData[[#This Row],[PRODUCT ID]],MasterData[],3,)</f>
        <v>Category01</v>
      </c>
      <c r="I136" t="str">
        <f>VLOOKUP(InputData[[#This Row],[PRODUCT ID]],MasterData[],4,)</f>
        <v>No.</v>
      </c>
      <c r="J136" s="7">
        <f>VLOOKUP(InputData[[#This Row],[PRODUCT ID]],MasterData[],5,)</f>
        <v>6</v>
      </c>
      <c r="K136" s="7">
        <f>VLOOKUP(InputData[[#This Row],[PRODUCT ID]],MasterData[],6,)</f>
        <v>7.8599999999999994</v>
      </c>
      <c r="L136" s="7">
        <f>InputData[[#This Row],[BUYING PRIZE]]*InputData[[#This Row],[QUANTITY]]</f>
        <v>42</v>
      </c>
      <c r="M136" s="7">
        <f>InputData[[#This Row],[SELLING PRICE]]*InputData[[#This Row],[QUANTITY]]*(1-InputData[[#This Row],[DISCOUNT %]])</f>
        <v>55.019999999999996</v>
      </c>
      <c r="N136">
        <f>DAY(InputData[[#This Row],[DATE]])</f>
        <v>26</v>
      </c>
      <c r="O136" t="str">
        <f>TEXT(InputData[[#This Row],[DATE]],"mmm")</f>
        <v>Jun</v>
      </c>
      <c r="P136">
        <f>YEAR(InputData[[#This Row],[DATE]])</f>
        <v>2021</v>
      </c>
    </row>
    <row r="137" spans="1:16" x14ac:dyDescent="0.3">
      <c r="A137" s="3">
        <v>44374</v>
      </c>
      <c r="B137" s="4" t="s">
        <v>16</v>
      </c>
      <c r="C137" s="5">
        <v>11</v>
      </c>
      <c r="D137" s="5" t="s">
        <v>108</v>
      </c>
      <c r="E137" s="5" t="s">
        <v>107</v>
      </c>
      <c r="F137" s="6">
        <v>0</v>
      </c>
      <c r="G137" t="str">
        <f>VLOOKUP(InputData[[#This Row],[PRODUCT ID]],MasterData[],2,)</f>
        <v>Product05</v>
      </c>
      <c r="H137" t="str">
        <f>VLOOKUP(InputData[[#This Row],[PRODUCT ID]],MasterData[],3,)</f>
        <v>Category01</v>
      </c>
      <c r="I137" t="str">
        <f>VLOOKUP(InputData[[#This Row],[PRODUCT ID]],MasterData[],4,)</f>
        <v>Ft</v>
      </c>
      <c r="J137" s="7">
        <f>VLOOKUP(InputData[[#This Row],[PRODUCT ID]],MasterData[],5,)</f>
        <v>133</v>
      </c>
      <c r="K137" s="7">
        <f>VLOOKUP(InputData[[#This Row],[PRODUCT ID]],MasterData[],6,)</f>
        <v>155.61000000000001</v>
      </c>
      <c r="L137" s="7">
        <f>InputData[[#This Row],[BUYING PRIZE]]*InputData[[#This Row],[QUANTITY]]</f>
        <v>1463</v>
      </c>
      <c r="M137" s="7">
        <f>InputData[[#This Row],[SELLING PRICE]]*InputData[[#This Row],[QUANTITY]]*(1-InputData[[#This Row],[DISCOUNT %]])</f>
        <v>1711.71</v>
      </c>
      <c r="N137">
        <f>DAY(InputData[[#This Row],[DATE]])</f>
        <v>27</v>
      </c>
      <c r="O137" t="str">
        <f>TEXT(InputData[[#This Row],[DATE]],"mmm")</f>
        <v>Jun</v>
      </c>
      <c r="P137">
        <f>YEAR(InputData[[#This Row],[DATE]])</f>
        <v>2021</v>
      </c>
    </row>
    <row r="138" spans="1:16" x14ac:dyDescent="0.3">
      <c r="A138" s="3">
        <v>44375</v>
      </c>
      <c r="B138" s="4" t="s">
        <v>50</v>
      </c>
      <c r="C138" s="5">
        <v>2</v>
      </c>
      <c r="D138" s="5" t="s">
        <v>106</v>
      </c>
      <c r="E138" s="5" t="s">
        <v>107</v>
      </c>
      <c r="F138" s="6">
        <v>0</v>
      </c>
      <c r="G138" t="str">
        <f>VLOOKUP(InputData[[#This Row],[PRODUCT ID]],MasterData[],2,)</f>
        <v>Product21</v>
      </c>
      <c r="H138" t="str">
        <f>VLOOKUP(InputData[[#This Row],[PRODUCT ID]],MasterData[],3,)</f>
        <v>Category03</v>
      </c>
      <c r="I138" t="str">
        <f>VLOOKUP(InputData[[#This Row],[PRODUCT ID]],MasterData[],4,)</f>
        <v>Ft</v>
      </c>
      <c r="J138" s="7">
        <f>VLOOKUP(InputData[[#This Row],[PRODUCT ID]],MasterData[],5,)</f>
        <v>126</v>
      </c>
      <c r="K138" s="7">
        <f>VLOOKUP(InputData[[#This Row],[PRODUCT ID]],MasterData[],6,)</f>
        <v>162.54</v>
      </c>
      <c r="L138" s="7">
        <f>InputData[[#This Row],[BUYING PRIZE]]*InputData[[#This Row],[QUANTITY]]</f>
        <v>252</v>
      </c>
      <c r="M138" s="7">
        <f>InputData[[#This Row],[SELLING PRICE]]*InputData[[#This Row],[QUANTITY]]*(1-InputData[[#This Row],[DISCOUNT %]])</f>
        <v>325.08</v>
      </c>
      <c r="N138">
        <f>DAY(InputData[[#This Row],[DATE]])</f>
        <v>28</v>
      </c>
      <c r="O138" t="str">
        <f>TEXT(InputData[[#This Row],[DATE]],"mmm")</f>
        <v>Jun</v>
      </c>
      <c r="P138">
        <f>YEAR(InputData[[#This Row],[DATE]])</f>
        <v>2021</v>
      </c>
    </row>
    <row r="139" spans="1:16" x14ac:dyDescent="0.3">
      <c r="A139" s="3">
        <v>44375</v>
      </c>
      <c r="B139" s="4" t="s">
        <v>79</v>
      </c>
      <c r="C139" s="5">
        <v>7</v>
      </c>
      <c r="D139" s="5" t="s">
        <v>106</v>
      </c>
      <c r="E139" s="5" t="s">
        <v>106</v>
      </c>
      <c r="F139" s="6">
        <v>0</v>
      </c>
      <c r="G139" t="str">
        <f>VLOOKUP(InputData[[#This Row],[PRODUCT ID]],MasterData[],2,)</f>
        <v>Product35</v>
      </c>
      <c r="H139" t="str">
        <f>VLOOKUP(InputData[[#This Row],[PRODUCT ID]],MasterData[],3,)</f>
        <v>Category04</v>
      </c>
      <c r="I139" t="str">
        <f>VLOOKUP(InputData[[#This Row],[PRODUCT ID]],MasterData[],4,)</f>
        <v>No.</v>
      </c>
      <c r="J139" s="7">
        <f>VLOOKUP(InputData[[#This Row],[PRODUCT ID]],MasterData[],5,)</f>
        <v>5</v>
      </c>
      <c r="K139" s="7">
        <f>VLOOKUP(InputData[[#This Row],[PRODUCT ID]],MasterData[],6,)</f>
        <v>6.7</v>
      </c>
      <c r="L139" s="7">
        <f>InputData[[#This Row],[BUYING PRIZE]]*InputData[[#This Row],[QUANTITY]]</f>
        <v>35</v>
      </c>
      <c r="M139" s="7">
        <f>InputData[[#This Row],[SELLING PRICE]]*InputData[[#This Row],[QUANTITY]]*(1-InputData[[#This Row],[DISCOUNT %]])</f>
        <v>46.9</v>
      </c>
      <c r="N139">
        <f>DAY(InputData[[#This Row],[DATE]])</f>
        <v>28</v>
      </c>
      <c r="O139" t="str">
        <f>TEXT(InputData[[#This Row],[DATE]],"mmm")</f>
        <v>Jun</v>
      </c>
      <c r="P139">
        <f>YEAR(InputData[[#This Row],[DATE]])</f>
        <v>2021</v>
      </c>
    </row>
    <row r="140" spans="1:16" x14ac:dyDescent="0.3">
      <c r="A140" s="3">
        <v>44376</v>
      </c>
      <c r="B140" s="4" t="s">
        <v>35</v>
      </c>
      <c r="C140" s="5">
        <v>4</v>
      </c>
      <c r="D140" s="5" t="s">
        <v>108</v>
      </c>
      <c r="E140" s="5" t="s">
        <v>106</v>
      </c>
      <c r="F140" s="6">
        <v>0</v>
      </c>
      <c r="G140" t="str">
        <f>VLOOKUP(InputData[[#This Row],[PRODUCT ID]],MasterData[],2,)</f>
        <v>Product14</v>
      </c>
      <c r="H140" t="str">
        <f>VLOOKUP(InputData[[#This Row],[PRODUCT ID]],MasterData[],3,)</f>
        <v>Category02</v>
      </c>
      <c r="I140" t="str">
        <f>VLOOKUP(InputData[[#This Row],[PRODUCT ID]],MasterData[],4,)</f>
        <v>Kg</v>
      </c>
      <c r="J140" s="7">
        <f>VLOOKUP(InputData[[#This Row],[PRODUCT ID]],MasterData[],5,)</f>
        <v>112</v>
      </c>
      <c r="K140" s="7">
        <f>VLOOKUP(InputData[[#This Row],[PRODUCT ID]],MasterData[],6,)</f>
        <v>146.72</v>
      </c>
      <c r="L140" s="7">
        <f>InputData[[#This Row],[BUYING PRIZE]]*InputData[[#This Row],[QUANTITY]]</f>
        <v>448</v>
      </c>
      <c r="M140" s="7">
        <f>InputData[[#This Row],[SELLING PRICE]]*InputData[[#This Row],[QUANTITY]]*(1-InputData[[#This Row],[DISCOUNT %]])</f>
        <v>586.88</v>
      </c>
      <c r="N140">
        <f>DAY(InputData[[#This Row],[DATE]])</f>
        <v>29</v>
      </c>
      <c r="O140" t="str">
        <f>TEXT(InputData[[#This Row],[DATE]],"mmm")</f>
        <v>Jun</v>
      </c>
      <c r="P140">
        <f>YEAR(InputData[[#This Row],[DATE]])</f>
        <v>2021</v>
      </c>
    </row>
    <row r="141" spans="1:16" x14ac:dyDescent="0.3">
      <c r="A141" s="3">
        <v>44378</v>
      </c>
      <c r="B141" s="4" t="s">
        <v>16</v>
      </c>
      <c r="C141" s="5">
        <v>11</v>
      </c>
      <c r="D141" s="5" t="s">
        <v>108</v>
      </c>
      <c r="E141" s="5" t="s">
        <v>107</v>
      </c>
      <c r="F141" s="6">
        <v>0</v>
      </c>
      <c r="G141" t="str">
        <f>VLOOKUP(InputData[[#This Row],[PRODUCT ID]],MasterData[],2,)</f>
        <v>Product05</v>
      </c>
      <c r="H141" t="str">
        <f>VLOOKUP(InputData[[#This Row],[PRODUCT ID]],MasterData[],3,)</f>
        <v>Category01</v>
      </c>
      <c r="I141" t="str">
        <f>VLOOKUP(InputData[[#This Row],[PRODUCT ID]],MasterData[],4,)</f>
        <v>Ft</v>
      </c>
      <c r="J141" s="7">
        <f>VLOOKUP(InputData[[#This Row],[PRODUCT ID]],MasterData[],5,)</f>
        <v>133</v>
      </c>
      <c r="K141" s="7">
        <f>VLOOKUP(InputData[[#This Row],[PRODUCT ID]],MasterData[],6,)</f>
        <v>155.61000000000001</v>
      </c>
      <c r="L141" s="7">
        <f>InputData[[#This Row],[BUYING PRIZE]]*InputData[[#This Row],[QUANTITY]]</f>
        <v>1463</v>
      </c>
      <c r="M141" s="7">
        <f>InputData[[#This Row],[SELLING PRICE]]*InputData[[#This Row],[QUANTITY]]*(1-InputData[[#This Row],[DISCOUNT %]])</f>
        <v>1711.71</v>
      </c>
      <c r="N141">
        <f>DAY(InputData[[#This Row],[DATE]])</f>
        <v>1</v>
      </c>
      <c r="O141" t="str">
        <f>TEXT(InputData[[#This Row],[DATE]],"mmm")</f>
        <v>Jul</v>
      </c>
      <c r="P141">
        <f>YEAR(InputData[[#This Row],[DATE]])</f>
        <v>2021</v>
      </c>
    </row>
    <row r="142" spans="1:16" x14ac:dyDescent="0.3">
      <c r="A142" s="3">
        <v>44379</v>
      </c>
      <c r="B142" s="4" t="s">
        <v>26</v>
      </c>
      <c r="C142" s="5">
        <v>11</v>
      </c>
      <c r="D142" s="5" t="s">
        <v>108</v>
      </c>
      <c r="E142" s="5" t="s">
        <v>107</v>
      </c>
      <c r="F142" s="6">
        <v>0</v>
      </c>
      <c r="G142" t="str">
        <f>VLOOKUP(InputData[[#This Row],[PRODUCT ID]],MasterData[],2,)</f>
        <v>Product10</v>
      </c>
      <c r="H142" t="str">
        <f>VLOOKUP(InputData[[#This Row],[PRODUCT ID]],MasterData[],3,)</f>
        <v>Category02</v>
      </c>
      <c r="I142" t="str">
        <f>VLOOKUP(InputData[[#This Row],[PRODUCT ID]],MasterData[],4,)</f>
        <v>Ft</v>
      </c>
      <c r="J142" s="7">
        <f>VLOOKUP(InputData[[#This Row],[PRODUCT ID]],MasterData[],5,)</f>
        <v>148</v>
      </c>
      <c r="K142" s="7">
        <f>VLOOKUP(InputData[[#This Row],[PRODUCT ID]],MasterData[],6,)</f>
        <v>164.28</v>
      </c>
      <c r="L142" s="7">
        <f>InputData[[#This Row],[BUYING PRIZE]]*InputData[[#This Row],[QUANTITY]]</f>
        <v>1628</v>
      </c>
      <c r="M142" s="7">
        <f>InputData[[#This Row],[SELLING PRICE]]*InputData[[#This Row],[QUANTITY]]*(1-InputData[[#This Row],[DISCOUNT %]])</f>
        <v>1807.08</v>
      </c>
      <c r="N142">
        <f>DAY(InputData[[#This Row],[DATE]])</f>
        <v>2</v>
      </c>
      <c r="O142" t="str">
        <f>TEXT(InputData[[#This Row],[DATE]],"mmm")</f>
        <v>Jul</v>
      </c>
      <c r="P142">
        <f>YEAR(InputData[[#This Row],[DATE]])</f>
        <v>2021</v>
      </c>
    </row>
    <row r="143" spans="1:16" x14ac:dyDescent="0.3">
      <c r="A143" s="3">
        <v>44380</v>
      </c>
      <c r="B143" s="4" t="s">
        <v>75</v>
      </c>
      <c r="C143" s="5">
        <v>9</v>
      </c>
      <c r="D143" s="5" t="s">
        <v>106</v>
      </c>
      <c r="E143" s="5" t="s">
        <v>107</v>
      </c>
      <c r="F143" s="6">
        <v>0</v>
      </c>
      <c r="G143" t="str">
        <f>VLOOKUP(InputData[[#This Row],[PRODUCT ID]],MasterData[],2,)</f>
        <v>Product33</v>
      </c>
      <c r="H143" t="str">
        <f>VLOOKUP(InputData[[#This Row],[PRODUCT ID]],MasterData[],3,)</f>
        <v>Category04</v>
      </c>
      <c r="I143" t="str">
        <f>VLOOKUP(InputData[[#This Row],[PRODUCT ID]],MasterData[],4,)</f>
        <v>Kg</v>
      </c>
      <c r="J143" s="7">
        <f>VLOOKUP(InputData[[#This Row],[PRODUCT ID]],MasterData[],5,)</f>
        <v>95</v>
      </c>
      <c r="K143" s="7">
        <f>VLOOKUP(InputData[[#This Row],[PRODUCT ID]],MasterData[],6,)</f>
        <v>119.7</v>
      </c>
      <c r="L143" s="7">
        <f>InputData[[#This Row],[BUYING PRIZE]]*InputData[[#This Row],[QUANTITY]]</f>
        <v>855</v>
      </c>
      <c r="M143" s="7">
        <f>InputData[[#This Row],[SELLING PRICE]]*InputData[[#This Row],[QUANTITY]]*(1-InputData[[#This Row],[DISCOUNT %]])</f>
        <v>1077.3</v>
      </c>
      <c r="N143">
        <f>DAY(InputData[[#This Row],[DATE]])</f>
        <v>3</v>
      </c>
      <c r="O143" t="str">
        <f>TEXT(InputData[[#This Row],[DATE]],"mmm")</f>
        <v>Jul</v>
      </c>
      <c r="P143">
        <f>YEAR(InputData[[#This Row],[DATE]])</f>
        <v>2021</v>
      </c>
    </row>
    <row r="144" spans="1:16" x14ac:dyDescent="0.3">
      <c r="A144" s="3">
        <v>44380</v>
      </c>
      <c r="B144" s="4" t="s">
        <v>12</v>
      </c>
      <c r="C144" s="5">
        <v>8</v>
      </c>
      <c r="D144" s="5" t="s">
        <v>106</v>
      </c>
      <c r="E144" s="5" t="s">
        <v>107</v>
      </c>
      <c r="F144" s="6">
        <v>0</v>
      </c>
      <c r="G144" t="str">
        <f>VLOOKUP(InputData[[#This Row],[PRODUCT ID]],MasterData[],2,)</f>
        <v>Product03</v>
      </c>
      <c r="H144" t="str">
        <f>VLOOKUP(InputData[[#This Row],[PRODUCT ID]],MasterData[],3,)</f>
        <v>Category01</v>
      </c>
      <c r="I144" t="str">
        <f>VLOOKUP(InputData[[#This Row],[PRODUCT ID]],MasterData[],4,)</f>
        <v>Kg</v>
      </c>
      <c r="J144" s="7">
        <f>VLOOKUP(InputData[[#This Row],[PRODUCT ID]],MasterData[],5,)</f>
        <v>71</v>
      </c>
      <c r="K144" s="7">
        <f>VLOOKUP(InputData[[#This Row],[PRODUCT ID]],MasterData[],6,)</f>
        <v>80.94</v>
      </c>
      <c r="L144" s="7">
        <f>InputData[[#This Row],[BUYING PRIZE]]*InputData[[#This Row],[QUANTITY]]</f>
        <v>568</v>
      </c>
      <c r="M144" s="7">
        <f>InputData[[#This Row],[SELLING PRICE]]*InputData[[#This Row],[QUANTITY]]*(1-InputData[[#This Row],[DISCOUNT %]])</f>
        <v>647.52</v>
      </c>
      <c r="N144">
        <f>DAY(InputData[[#This Row],[DATE]])</f>
        <v>3</v>
      </c>
      <c r="O144" t="str">
        <f>TEXT(InputData[[#This Row],[DATE]],"mmm")</f>
        <v>Jul</v>
      </c>
      <c r="P144">
        <f>YEAR(InputData[[#This Row],[DATE]])</f>
        <v>2021</v>
      </c>
    </row>
    <row r="145" spans="1:16" x14ac:dyDescent="0.3">
      <c r="A145" s="3">
        <v>44382</v>
      </c>
      <c r="B145" s="4" t="s">
        <v>10</v>
      </c>
      <c r="C145" s="5">
        <v>8</v>
      </c>
      <c r="D145" s="5" t="s">
        <v>108</v>
      </c>
      <c r="E145" s="5" t="s">
        <v>106</v>
      </c>
      <c r="F145" s="6">
        <v>0</v>
      </c>
      <c r="G145" t="str">
        <f>VLOOKUP(InputData[[#This Row],[PRODUCT ID]],MasterData[],2,)</f>
        <v>Product02</v>
      </c>
      <c r="H145" t="str">
        <f>VLOOKUP(InputData[[#This Row],[PRODUCT ID]],MasterData[],3,)</f>
        <v>Category01</v>
      </c>
      <c r="I145" t="str">
        <f>VLOOKUP(InputData[[#This Row],[PRODUCT ID]],MasterData[],4,)</f>
        <v>Kg</v>
      </c>
      <c r="J145" s="7">
        <f>VLOOKUP(InputData[[#This Row],[PRODUCT ID]],MasterData[],5,)</f>
        <v>105</v>
      </c>
      <c r="K145" s="7">
        <f>VLOOKUP(InputData[[#This Row],[PRODUCT ID]],MasterData[],6,)</f>
        <v>142.80000000000001</v>
      </c>
      <c r="L145" s="7">
        <f>InputData[[#This Row],[BUYING PRIZE]]*InputData[[#This Row],[QUANTITY]]</f>
        <v>840</v>
      </c>
      <c r="M145" s="7">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3">
      <c r="A146" s="3">
        <v>44383</v>
      </c>
      <c r="B146" s="4" t="s">
        <v>92</v>
      </c>
      <c r="C146" s="5">
        <v>15</v>
      </c>
      <c r="D146" s="5" t="s">
        <v>108</v>
      </c>
      <c r="E146" s="5" t="s">
        <v>107</v>
      </c>
      <c r="F146" s="6">
        <v>0</v>
      </c>
      <c r="G146" t="str">
        <f>VLOOKUP(InputData[[#This Row],[PRODUCT ID]],MasterData[],2,)</f>
        <v>Product41</v>
      </c>
      <c r="H146" t="str">
        <f>VLOOKUP(InputData[[#This Row],[PRODUCT ID]],MasterData[],3,)</f>
        <v>Category05</v>
      </c>
      <c r="I146" t="str">
        <f>VLOOKUP(InputData[[#This Row],[PRODUCT ID]],MasterData[],4,)</f>
        <v>Ft</v>
      </c>
      <c r="J146" s="7">
        <f>VLOOKUP(InputData[[#This Row],[PRODUCT ID]],MasterData[],5,)</f>
        <v>138</v>
      </c>
      <c r="K146" s="7">
        <f>VLOOKUP(InputData[[#This Row],[PRODUCT ID]],MasterData[],6,)</f>
        <v>173.88</v>
      </c>
      <c r="L146" s="7">
        <f>InputData[[#This Row],[BUYING PRIZE]]*InputData[[#This Row],[QUANTITY]]</f>
        <v>2070</v>
      </c>
      <c r="M146" s="7">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3">
      <c r="A147" s="3">
        <v>44385</v>
      </c>
      <c r="B147" s="4" t="s">
        <v>14</v>
      </c>
      <c r="C147" s="5">
        <v>10</v>
      </c>
      <c r="D147" s="5" t="s">
        <v>108</v>
      </c>
      <c r="E147" s="5" t="s">
        <v>106</v>
      </c>
      <c r="F147" s="6">
        <v>0</v>
      </c>
      <c r="G147" t="str">
        <f>VLOOKUP(InputData[[#This Row],[PRODUCT ID]],MasterData[],2,)</f>
        <v>Product04</v>
      </c>
      <c r="H147" t="str">
        <f>VLOOKUP(InputData[[#This Row],[PRODUCT ID]],MasterData[],3,)</f>
        <v>Category01</v>
      </c>
      <c r="I147" t="str">
        <f>VLOOKUP(InputData[[#This Row],[PRODUCT ID]],MasterData[],4,)</f>
        <v>Lt</v>
      </c>
      <c r="J147" s="7">
        <f>VLOOKUP(InputData[[#This Row],[PRODUCT ID]],MasterData[],5,)</f>
        <v>44</v>
      </c>
      <c r="K147" s="7">
        <f>VLOOKUP(InputData[[#This Row],[PRODUCT ID]],MasterData[],6,)</f>
        <v>48.84</v>
      </c>
      <c r="L147" s="7">
        <f>InputData[[#This Row],[BUYING PRIZE]]*InputData[[#This Row],[QUANTITY]]</f>
        <v>440</v>
      </c>
      <c r="M147" s="7">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3">
      <c r="A148" s="3">
        <v>44387</v>
      </c>
      <c r="B148" s="4" t="s">
        <v>77</v>
      </c>
      <c r="C148" s="5">
        <v>6</v>
      </c>
      <c r="D148" s="5" t="s">
        <v>105</v>
      </c>
      <c r="E148" s="5" t="s">
        <v>107</v>
      </c>
      <c r="F148" s="6">
        <v>0</v>
      </c>
      <c r="G148" t="str">
        <f>VLOOKUP(InputData[[#This Row],[PRODUCT ID]],MasterData[],2,)</f>
        <v>Product34</v>
      </c>
      <c r="H148" t="str">
        <f>VLOOKUP(InputData[[#This Row],[PRODUCT ID]],MasterData[],3,)</f>
        <v>Category04</v>
      </c>
      <c r="I148" t="str">
        <f>VLOOKUP(InputData[[#This Row],[PRODUCT ID]],MasterData[],4,)</f>
        <v>Lt</v>
      </c>
      <c r="J148" s="7">
        <f>VLOOKUP(InputData[[#This Row],[PRODUCT ID]],MasterData[],5,)</f>
        <v>55</v>
      </c>
      <c r="K148" s="7">
        <f>VLOOKUP(InputData[[#This Row],[PRODUCT ID]],MasterData[],6,)</f>
        <v>58.3</v>
      </c>
      <c r="L148" s="7">
        <f>InputData[[#This Row],[BUYING PRIZE]]*InputData[[#This Row],[QUANTITY]]</f>
        <v>330</v>
      </c>
      <c r="M148" s="7">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3">
      <c r="A149" s="3">
        <v>44388</v>
      </c>
      <c r="B149" s="4" t="s">
        <v>24</v>
      </c>
      <c r="C149" s="5">
        <v>4</v>
      </c>
      <c r="D149" s="5" t="s">
        <v>105</v>
      </c>
      <c r="E149" s="5" t="s">
        <v>106</v>
      </c>
      <c r="F149" s="6">
        <v>0</v>
      </c>
      <c r="G149" t="str">
        <f>VLOOKUP(InputData[[#This Row],[PRODUCT ID]],MasterData[],2,)</f>
        <v>Product09</v>
      </c>
      <c r="H149" t="str">
        <f>VLOOKUP(InputData[[#This Row],[PRODUCT ID]],MasterData[],3,)</f>
        <v>Category01</v>
      </c>
      <c r="I149" t="str">
        <f>VLOOKUP(InputData[[#This Row],[PRODUCT ID]],MasterData[],4,)</f>
        <v>No.</v>
      </c>
      <c r="J149" s="7">
        <f>VLOOKUP(InputData[[#This Row],[PRODUCT ID]],MasterData[],5,)</f>
        <v>6</v>
      </c>
      <c r="K149" s="7">
        <f>VLOOKUP(InputData[[#This Row],[PRODUCT ID]],MasterData[],6,)</f>
        <v>7.8599999999999994</v>
      </c>
      <c r="L149" s="7">
        <f>InputData[[#This Row],[BUYING PRIZE]]*InputData[[#This Row],[QUANTITY]]</f>
        <v>24</v>
      </c>
      <c r="M149" s="7">
        <f>InputData[[#This Row],[SELLING PRICE]]*InputData[[#This Row],[QUANTITY]]*(1-InputData[[#This Row],[DISCOUNT %]])</f>
        <v>31.439999999999998</v>
      </c>
      <c r="N149">
        <f>DAY(InputData[[#This Row],[DATE]])</f>
        <v>11</v>
      </c>
      <c r="O149" t="str">
        <f>TEXT(InputData[[#This Row],[DATE]],"mmm")</f>
        <v>Jul</v>
      </c>
      <c r="P149">
        <f>YEAR(InputData[[#This Row],[DATE]])</f>
        <v>2021</v>
      </c>
    </row>
    <row r="150" spans="1:16" x14ac:dyDescent="0.3">
      <c r="A150" s="3">
        <v>44390</v>
      </c>
      <c r="B150" s="4" t="s">
        <v>45</v>
      </c>
      <c r="C150" s="5">
        <v>1</v>
      </c>
      <c r="D150" s="5" t="s">
        <v>108</v>
      </c>
      <c r="E150" s="5" t="s">
        <v>107</v>
      </c>
      <c r="F150" s="6">
        <v>0</v>
      </c>
      <c r="G150" t="str">
        <f>VLOOKUP(InputData[[#This Row],[PRODUCT ID]],MasterData[],2,)</f>
        <v>Product19</v>
      </c>
      <c r="H150" t="str">
        <f>VLOOKUP(InputData[[#This Row],[PRODUCT ID]],MasterData[],3,)</f>
        <v>Category02</v>
      </c>
      <c r="I150" t="str">
        <f>VLOOKUP(InputData[[#This Row],[PRODUCT ID]],MasterData[],4,)</f>
        <v>Ft</v>
      </c>
      <c r="J150" s="7">
        <f>VLOOKUP(InputData[[#This Row],[PRODUCT ID]],MasterData[],5,)</f>
        <v>150</v>
      </c>
      <c r="K150" s="7">
        <f>VLOOKUP(InputData[[#This Row],[PRODUCT ID]],MasterData[],6,)</f>
        <v>210</v>
      </c>
      <c r="L150" s="7">
        <f>InputData[[#This Row],[BUYING PRIZE]]*InputData[[#This Row],[QUANTITY]]</f>
        <v>150</v>
      </c>
      <c r="M150" s="7">
        <f>InputData[[#This Row],[SELLING PRICE]]*InputData[[#This Row],[QUANTITY]]*(1-InputData[[#This Row],[DISCOUNT %]])</f>
        <v>210</v>
      </c>
      <c r="N150">
        <f>DAY(InputData[[#This Row],[DATE]])</f>
        <v>13</v>
      </c>
      <c r="O150" t="str">
        <f>TEXT(InputData[[#This Row],[DATE]],"mmm")</f>
        <v>Jul</v>
      </c>
      <c r="P150">
        <f>YEAR(InputData[[#This Row],[DATE]])</f>
        <v>2021</v>
      </c>
    </row>
    <row r="151" spans="1:16" x14ac:dyDescent="0.3">
      <c r="A151" s="3">
        <v>44393</v>
      </c>
      <c r="B151" s="4" t="s">
        <v>54</v>
      </c>
      <c r="C151" s="5">
        <v>8</v>
      </c>
      <c r="D151" s="5" t="s">
        <v>105</v>
      </c>
      <c r="E151" s="5" t="s">
        <v>107</v>
      </c>
      <c r="F151" s="6">
        <v>0</v>
      </c>
      <c r="G151" t="str">
        <f>VLOOKUP(InputData[[#This Row],[PRODUCT ID]],MasterData[],2,)</f>
        <v>Product23</v>
      </c>
      <c r="H151" t="str">
        <f>VLOOKUP(InputData[[#This Row],[PRODUCT ID]],MasterData[],3,)</f>
        <v>Category03</v>
      </c>
      <c r="I151" t="str">
        <f>VLOOKUP(InputData[[#This Row],[PRODUCT ID]],MasterData[],4,)</f>
        <v>Ft</v>
      </c>
      <c r="J151" s="7">
        <f>VLOOKUP(InputData[[#This Row],[PRODUCT ID]],MasterData[],5,)</f>
        <v>141</v>
      </c>
      <c r="K151" s="7">
        <f>VLOOKUP(InputData[[#This Row],[PRODUCT ID]],MasterData[],6,)</f>
        <v>149.46</v>
      </c>
      <c r="L151" s="7">
        <f>InputData[[#This Row],[BUYING PRIZE]]*InputData[[#This Row],[QUANTITY]]</f>
        <v>1128</v>
      </c>
      <c r="M151" s="7">
        <f>InputData[[#This Row],[SELLING PRICE]]*InputData[[#This Row],[QUANTITY]]*(1-InputData[[#This Row],[DISCOUNT %]])</f>
        <v>1195.68</v>
      </c>
      <c r="N151">
        <f>DAY(InputData[[#This Row],[DATE]])</f>
        <v>16</v>
      </c>
      <c r="O151" t="str">
        <f>TEXT(InputData[[#This Row],[DATE]],"mmm")</f>
        <v>Jul</v>
      </c>
      <c r="P151">
        <f>YEAR(InputData[[#This Row],[DATE]])</f>
        <v>2021</v>
      </c>
    </row>
    <row r="152" spans="1:16" x14ac:dyDescent="0.3">
      <c r="A152" s="3">
        <v>44395</v>
      </c>
      <c r="B152" s="4" t="s">
        <v>63</v>
      </c>
      <c r="C152" s="5">
        <v>14</v>
      </c>
      <c r="D152" s="5" t="s">
        <v>106</v>
      </c>
      <c r="E152" s="5" t="s">
        <v>106</v>
      </c>
      <c r="F152" s="6">
        <v>0</v>
      </c>
      <c r="G152" t="str">
        <f>VLOOKUP(InputData[[#This Row],[PRODUCT ID]],MasterData[],2,)</f>
        <v>Product27</v>
      </c>
      <c r="H152" t="str">
        <f>VLOOKUP(InputData[[#This Row],[PRODUCT ID]],MasterData[],3,)</f>
        <v>Category04</v>
      </c>
      <c r="I152" t="str">
        <f>VLOOKUP(InputData[[#This Row],[PRODUCT ID]],MasterData[],4,)</f>
        <v>Lt</v>
      </c>
      <c r="J152" s="7">
        <f>VLOOKUP(InputData[[#This Row],[PRODUCT ID]],MasterData[],5,)</f>
        <v>48</v>
      </c>
      <c r="K152" s="7">
        <f>VLOOKUP(InputData[[#This Row],[PRODUCT ID]],MasterData[],6,)</f>
        <v>57.120000000000005</v>
      </c>
      <c r="L152" s="7">
        <f>InputData[[#This Row],[BUYING PRIZE]]*InputData[[#This Row],[QUANTITY]]</f>
        <v>672</v>
      </c>
      <c r="M152" s="7">
        <f>InputData[[#This Row],[SELLING PRICE]]*InputData[[#This Row],[QUANTITY]]*(1-InputData[[#This Row],[DISCOUNT %]])</f>
        <v>799.68000000000006</v>
      </c>
      <c r="N152">
        <f>DAY(InputData[[#This Row],[DATE]])</f>
        <v>18</v>
      </c>
      <c r="O152" t="str">
        <f>TEXT(InputData[[#This Row],[DATE]],"mmm")</f>
        <v>Jul</v>
      </c>
      <c r="P152">
        <f>YEAR(InputData[[#This Row],[DATE]])</f>
        <v>2021</v>
      </c>
    </row>
    <row r="153" spans="1:16" x14ac:dyDescent="0.3">
      <c r="A153" s="3">
        <v>44397</v>
      </c>
      <c r="B153" s="4" t="s">
        <v>86</v>
      </c>
      <c r="C153" s="5">
        <v>11</v>
      </c>
      <c r="D153" s="5" t="s">
        <v>106</v>
      </c>
      <c r="E153" s="5" t="s">
        <v>106</v>
      </c>
      <c r="F153" s="6">
        <v>0</v>
      </c>
      <c r="G153" t="str">
        <f>VLOOKUP(InputData[[#This Row],[PRODUCT ID]],MasterData[],2,)</f>
        <v>Product38</v>
      </c>
      <c r="H153" t="str">
        <f>VLOOKUP(InputData[[#This Row],[PRODUCT ID]],MasterData[],3,)</f>
        <v>Category05</v>
      </c>
      <c r="I153" t="str">
        <f>VLOOKUP(InputData[[#This Row],[PRODUCT ID]],MasterData[],4,)</f>
        <v>Kg</v>
      </c>
      <c r="J153" s="7">
        <f>VLOOKUP(InputData[[#This Row],[PRODUCT ID]],MasterData[],5,)</f>
        <v>72</v>
      </c>
      <c r="K153" s="7">
        <f>VLOOKUP(InputData[[#This Row],[PRODUCT ID]],MasterData[],6,)</f>
        <v>79.92</v>
      </c>
      <c r="L153" s="7">
        <f>InputData[[#This Row],[BUYING PRIZE]]*InputData[[#This Row],[QUANTITY]]</f>
        <v>792</v>
      </c>
      <c r="M153" s="7">
        <f>InputData[[#This Row],[SELLING PRICE]]*InputData[[#This Row],[QUANTITY]]*(1-InputData[[#This Row],[DISCOUNT %]])</f>
        <v>879.12</v>
      </c>
      <c r="N153">
        <f>DAY(InputData[[#This Row],[DATE]])</f>
        <v>20</v>
      </c>
      <c r="O153" t="str">
        <f>TEXT(InputData[[#This Row],[DATE]],"mmm")</f>
        <v>Jul</v>
      </c>
      <c r="P153">
        <f>YEAR(InputData[[#This Row],[DATE]])</f>
        <v>2021</v>
      </c>
    </row>
    <row r="154" spans="1:16" x14ac:dyDescent="0.3">
      <c r="A154" s="3">
        <v>44397</v>
      </c>
      <c r="B154" s="4" t="s">
        <v>96</v>
      </c>
      <c r="C154" s="5">
        <v>5</v>
      </c>
      <c r="D154" s="5" t="s">
        <v>108</v>
      </c>
      <c r="E154" s="5" t="s">
        <v>106</v>
      </c>
      <c r="F154" s="6">
        <v>0</v>
      </c>
      <c r="G154" t="str">
        <f>VLOOKUP(InputData[[#This Row],[PRODUCT ID]],MasterData[],2,)</f>
        <v>Product43</v>
      </c>
      <c r="H154" t="str">
        <f>VLOOKUP(InputData[[#This Row],[PRODUCT ID]],MasterData[],3,)</f>
        <v>Category05</v>
      </c>
      <c r="I154" t="str">
        <f>VLOOKUP(InputData[[#This Row],[PRODUCT ID]],MasterData[],4,)</f>
        <v>Kg</v>
      </c>
      <c r="J154" s="7">
        <f>VLOOKUP(InputData[[#This Row],[PRODUCT ID]],MasterData[],5,)</f>
        <v>67</v>
      </c>
      <c r="K154" s="7">
        <f>VLOOKUP(InputData[[#This Row],[PRODUCT ID]],MasterData[],6,)</f>
        <v>83.08</v>
      </c>
      <c r="L154" s="7">
        <f>InputData[[#This Row],[BUYING PRIZE]]*InputData[[#This Row],[QUANTITY]]</f>
        <v>335</v>
      </c>
      <c r="M154" s="7">
        <f>InputData[[#This Row],[SELLING PRICE]]*InputData[[#This Row],[QUANTITY]]*(1-InputData[[#This Row],[DISCOUNT %]])</f>
        <v>415.4</v>
      </c>
      <c r="N154">
        <f>DAY(InputData[[#This Row],[DATE]])</f>
        <v>20</v>
      </c>
      <c r="O154" t="str">
        <f>TEXT(InputData[[#This Row],[DATE]],"mmm")</f>
        <v>Jul</v>
      </c>
      <c r="P154">
        <f>YEAR(InputData[[#This Row],[DATE]])</f>
        <v>2021</v>
      </c>
    </row>
    <row r="155" spans="1:16" x14ac:dyDescent="0.3">
      <c r="A155" s="3">
        <v>44398</v>
      </c>
      <c r="B155" s="4" t="s">
        <v>67</v>
      </c>
      <c r="C155" s="5">
        <v>15</v>
      </c>
      <c r="D155" s="5" t="s">
        <v>108</v>
      </c>
      <c r="E155" s="5" t="s">
        <v>106</v>
      </c>
      <c r="F155" s="6">
        <v>0</v>
      </c>
      <c r="G155" t="str">
        <f>VLOOKUP(InputData[[#This Row],[PRODUCT ID]],MasterData[],2,)</f>
        <v>Product29</v>
      </c>
      <c r="H155" t="str">
        <f>VLOOKUP(InputData[[#This Row],[PRODUCT ID]],MasterData[],3,)</f>
        <v>Category04</v>
      </c>
      <c r="I155" t="str">
        <f>VLOOKUP(InputData[[#This Row],[PRODUCT ID]],MasterData[],4,)</f>
        <v>Lt</v>
      </c>
      <c r="J155" s="7">
        <f>VLOOKUP(InputData[[#This Row],[PRODUCT ID]],MasterData[],5,)</f>
        <v>47</v>
      </c>
      <c r="K155" s="7">
        <f>VLOOKUP(InputData[[#This Row],[PRODUCT ID]],MasterData[],6,)</f>
        <v>53.11</v>
      </c>
      <c r="L155" s="7">
        <f>InputData[[#This Row],[BUYING PRIZE]]*InputData[[#This Row],[QUANTITY]]</f>
        <v>705</v>
      </c>
      <c r="M155" s="7">
        <f>InputData[[#This Row],[SELLING PRICE]]*InputData[[#This Row],[QUANTITY]]*(1-InputData[[#This Row],[DISCOUNT %]])</f>
        <v>796.65</v>
      </c>
      <c r="N155">
        <f>DAY(InputData[[#This Row],[DATE]])</f>
        <v>21</v>
      </c>
      <c r="O155" t="str">
        <f>TEXT(InputData[[#This Row],[DATE]],"mmm")</f>
        <v>Jul</v>
      </c>
      <c r="P155">
        <f>YEAR(InputData[[#This Row],[DATE]])</f>
        <v>2021</v>
      </c>
    </row>
    <row r="156" spans="1:16" x14ac:dyDescent="0.3">
      <c r="A156" s="3">
        <v>44399</v>
      </c>
      <c r="B156" s="4" t="s">
        <v>60</v>
      </c>
      <c r="C156" s="5">
        <v>3</v>
      </c>
      <c r="D156" s="5" t="s">
        <v>105</v>
      </c>
      <c r="E156" s="5" t="s">
        <v>107</v>
      </c>
      <c r="F156" s="6">
        <v>0</v>
      </c>
      <c r="G156" t="str">
        <f>VLOOKUP(InputData[[#This Row],[PRODUCT ID]],MasterData[],2,)</f>
        <v>Product26</v>
      </c>
      <c r="H156" t="str">
        <f>VLOOKUP(InputData[[#This Row],[PRODUCT ID]],MasterData[],3,)</f>
        <v>Category04</v>
      </c>
      <c r="I156" t="str">
        <f>VLOOKUP(InputData[[#This Row],[PRODUCT ID]],MasterData[],4,)</f>
        <v>No.</v>
      </c>
      <c r="J156" s="7">
        <f>VLOOKUP(InputData[[#This Row],[PRODUCT ID]],MasterData[],5,)</f>
        <v>18</v>
      </c>
      <c r="K156" s="7">
        <f>VLOOKUP(InputData[[#This Row],[PRODUCT ID]],MasterData[],6,)</f>
        <v>24.66</v>
      </c>
      <c r="L156" s="7">
        <f>InputData[[#This Row],[BUYING PRIZE]]*InputData[[#This Row],[QUANTITY]]</f>
        <v>54</v>
      </c>
      <c r="M156" s="7">
        <f>InputData[[#This Row],[SELLING PRICE]]*InputData[[#This Row],[QUANTITY]]*(1-InputData[[#This Row],[DISCOUNT %]])</f>
        <v>73.98</v>
      </c>
      <c r="N156">
        <f>DAY(InputData[[#This Row],[DATE]])</f>
        <v>22</v>
      </c>
      <c r="O156" t="str">
        <f>TEXT(InputData[[#This Row],[DATE]],"mmm")</f>
        <v>Jul</v>
      </c>
      <c r="P156">
        <f>YEAR(InputData[[#This Row],[DATE]])</f>
        <v>2021</v>
      </c>
    </row>
    <row r="157" spans="1:16" x14ac:dyDescent="0.3">
      <c r="A157" s="3">
        <v>44399</v>
      </c>
      <c r="B157" s="4" t="s">
        <v>56</v>
      </c>
      <c r="C157" s="5">
        <v>14</v>
      </c>
      <c r="D157" s="5" t="s">
        <v>106</v>
      </c>
      <c r="E157" s="5" t="s">
        <v>107</v>
      </c>
      <c r="F157" s="6">
        <v>0</v>
      </c>
      <c r="G157" t="str">
        <f>VLOOKUP(InputData[[#This Row],[PRODUCT ID]],MasterData[],2,)</f>
        <v>Product24</v>
      </c>
      <c r="H157" t="str">
        <f>VLOOKUP(InputData[[#This Row],[PRODUCT ID]],MasterData[],3,)</f>
        <v>Category03</v>
      </c>
      <c r="I157" t="str">
        <f>VLOOKUP(InputData[[#This Row],[PRODUCT ID]],MasterData[],4,)</f>
        <v>Ft</v>
      </c>
      <c r="J157" s="7">
        <f>VLOOKUP(InputData[[#This Row],[PRODUCT ID]],MasterData[],5,)</f>
        <v>144</v>
      </c>
      <c r="K157" s="7">
        <f>VLOOKUP(InputData[[#This Row],[PRODUCT ID]],MasterData[],6,)</f>
        <v>156.96</v>
      </c>
      <c r="L157" s="7">
        <f>InputData[[#This Row],[BUYING PRIZE]]*InputData[[#This Row],[QUANTITY]]</f>
        <v>2016</v>
      </c>
      <c r="M157" s="7">
        <f>InputData[[#This Row],[SELLING PRICE]]*InputData[[#This Row],[QUANTITY]]*(1-InputData[[#This Row],[DISCOUNT %]])</f>
        <v>2197.44</v>
      </c>
      <c r="N157">
        <f>DAY(InputData[[#This Row],[DATE]])</f>
        <v>22</v>
      </c>
      <c r="O157" t="str">
        <f>TEXT(InputData[[#This Row],[DATE]],"mmm")</f>
        <v>Jul</v>
      </c>
      <c r="P157">
        <f>YEAR(InputData[[#This Row],[DATE]])</f>
        <v>2021</v>
      </c>
    </row>
    <row r="158" spans="1:16" x14ac:dyDescent="0.3">
      <c r="A158" s="3">
        <v>44400</v>
      </c>
      <c r="B158" s="4" t="s">
        <v>81</v>
      </c>
      <c r="C158" s="5">
        <v>7</v>
      </c>
      <c r="D158" s="5" t="s">
        <v>105</v>
      </c>
      <c r="E158" s="5" t="s">
        <v>106</v>
      </c>
      <c r="F158" s="6">
        <v>0</v>
      </c>
      <c r="G158" t="str">
        <f>VLOOKUP(InputData[[#This Row],[PRODUCT ID]],MasterData[],2,)</f>
        <v>Product36</v>
      </c>
      <c r="H158" t="str">
        <f>VLOOKUP(InputData[[#This Row],[PRODUCT ID]],MasterData[],3,)</f>
        <v>Category04</v>
      </c>
      <c r="I158" t="str">
        <f>VLOOKUP(InputData[[#This Row],[PRODUCT ID]],MasterData[],4,)</f>
        <v>Kg</v>
      </c>
      <c r="J158" s="7">
        <f>VLOOKUP(InputData[[#This Row],[PRODUCT ID]],MasterData[],5,)</f>
        <v>90</v>
      </c>
      <c r="K158" s="7">
        <f>VLOOKUP(InputData[[#This Row],[PRODUCT ID]],MasterData[],6,)</f>
        <v>96.3</v>
      </c>
      <c r="L158" s="7">
        <f>InputData[[#This Row],[BUYING PRIZE]]*InputData[[#This Row],[QUANTITY]]</f>
        <v>630</v>
      </c>
      <c r="M158" s="7">
        <f>InputData[[#This Row],[SELLING PRICE]]*InputData[[#This Row],[QUANTITY]]*(1-InputData[[#This Row],[DISCOUNT %]])</f>
        <v>674.1</v>
      </c>
      <c r="N158">
        <f>DAY(InputData[[#This Row],[DATE]])</f>
        <v>23</v>
      </c>
      <c r="O158" t="str">
        <f>TEXT(InputData[[#This Row],[DATE]],"mmm")</f>
        <v>Jul</v>
      </c>
      <c r="P158">
        <f>YEAR(InputData[[#This Row],[DATE]])</f>
        <v>2021</v>
      </c>
    </row>
    <row r="159" spans="1:16" x14ac:dyDescent="0.3">
      <c r="A159" s="3">
        <v>44400</v>
      </c>
      <c r="B159" s="4" t="s">
        <v>83</v>
      </c>
      <c r="C159" s="5">
        <v>8</v>
      </c>
      <c r="D159" s="5" t="s">
        <v>108</v>
      </c>
      <c r="E159" s="5" t="s">
        <v>106</v>
      </c>
      <c r="F159" s="6">
        <v>0</v>
      </c>
      <c r="G159" t="str">
        <f>VLOOKUP(InputData[[#This Row],[PRODUCT ID]],MasterData[],2,)</f>
        <v>Product37</v>
      </c>
      <c r="H159" t="str">
        <f>VLOOKUP(InputData[[#This Row],[PRODUCT ID]],MasterData[],3,)</f>
        <v>Category05</v>
      </c>
      <c r="I159" t="str">
        <f>VLOOKUP(InputData[[#This Row],[PRODUCT ID]],MasterData[],4,)</f>
        <v>Kg</v>
      </c>
      <c r="J159" s="7">
        <f>VLOOKUP(InputData[[#This Row],[PRODUCT ID]],MasterData[],5,)</f>
        <v>67</v>
      </c>
      <c r="K159" s="7">
        <f>VLOOKUP(InputData[[#This Row],[PRODUCT ID]],MasterData[],6,)</f>
        <v>85.76</v>
      </c>
      <c r="L159" s="7">
        <f>InputData[[#This Row],[BUYING PRIZE]]*InputData[[#This Row],[QUANTITY]]</f>
        <v>536</v>
      </c>
      <c r="M159" s="7">
        <f>InputData[[#This Row],[SELLING PRICE]]*InputData[[#This Row],[QUANTITY]]*(1-InputData[[#This Row],[DISCOUNT %]])</f>
        <v>686.08</v>
      </c>
      <c r="N159">
        <f>DAY(InputData[[#This Row],[DATE]])</f>
        <v>23</v>
      </c>
      <c r="O159" t="str">
        <f>TEXT(InputData[[#This Row],[DATE]],"mmm")</f>
        <v>Jul</v>
      </c>
      <c r="P159">
        <f>YEAR(InputData[[#This Row],[DATE]])</f>
        <v>2021</v>
      </c>
    </row>
    <row r="160" spans="1:16" x14ac:dyDescent="0.3">
      <c r="A160" s="3">
        <v>44401</v>
      </c>
      <c r="B160" s="4" t="s">
        <v>24</v>
      </c>
      <c r="C160" s="5">
        <v>4</v>
      </c>
      <c r="D160" s="5" t="s">
        <v>106</v>
      </c>
      <c r="E160" s="5" t="s">
        <v>107</v>
      </c>
      <c r="F160" s="6">
        <v>0</v>
      </c>
      <c r="G160" t="str">
        <f>VLOOKUP(InputData[[#This Row],[PRODUCT ID]],MasterData[],2,)</f>
        <v>Product09</v>
      </c>
      <c r="H160" t="str">
        <f>VLOOKUP(InputData[[#This Row],[PRODUCT ID]],MasterData[],3,)</f>
        <v>Category01</v>
      </c>
      <c r="I160" t="str">
        <f>VLOOKUP(InputData[[#This Row],[PRODUCT ID]],MasterData[],4,)</f>
        <v>No.</v>
      </c>
      <c r="J160" s="7">
        <f>VLOOKUP(InputData[[#This Row],[PRODUCT ID]],MasterData[],5,)</f>
        <v>6</v>
      </c>
      <c r="K160" s="7">
        <f>VLOOKUP(InputData[[#This Row],[PRODUCT ID]],MasterData[],6,)</f>
        <v>7.8599999999999994</v>
      </c>
      <c r="L160" s="7">
        <f>InputData[[#This Row],[BUYING PRIZE]]*InputData[[#This Row],[QUANTITY]]</f>
        <v>24</v>
      </c>
      <c r="M160" s="7">
        <f>InputData[[#This Row],[SELLING PRICE]]*InputData[[#This Row],[QUANTITY]]*(1-InputData[[#This Row],[DISCOUNT %]])</f>
        <v>31.439999999999998</v>
      </c>
      <c r="N160">
        <f>DAY(InputData[[#This Row],[DATE]])</f>
        <v>24</v>
      </c>
      <c r="O160" t="str">
        <f>TEXT(InputData[[#This Row],[DATE]],"mmm")</f>
        <v>Jul</v>
      </c>
      <c r="P160">
        <f>YEAR(InputData[[#This Row],[DATE]])</f>
        <v>2021</v>
      </c>
    </row>
    <row r="161" spans="1:16" x14ac:dyDescent="0.3">
      <c r="A161" s="3">
        <v>44406</v>
      </c>
      <c r="B161" s="4" t="s">
        <v>98</v>
      </c>
      <c r="C161" s="5">
        <v>15</v>
      </c>
      <c r="D161" s="5" t="s">
        <v>106</v>
      </c>
      <c r="E161" s="5" t="s">
        <v>107</v>
      </c>
      <c r="F161" s="6">
        <v>0</v>
      </c>
      <c r="G161" t="str">
        <f>VLOOKUP(InputData[[#This Row],[PRODUCT ID]],MasterData[],2,)</f>
        <v>Product44</v>
      </c>
      <c r="H161" t="str">
        <f>VLOOKUP(InputData[[#This Row],[PRODUCT ID]],MasterData[],3,)</f>
        <v>Category05</v>
      </c>
      <c r="I161" t="str">
        <f>VLOOKUP(InputData[[#This Row],[PRODUCT ID]],MasterData[],4,)</f>
        <v>Kg</v>
      </c>
      <c r="J161" s="7">
        <f>VLOOKUP(InputData[[#This Row],[PRODUCT ID]],MasterData[],5,)</f>
        <v>76</v>
      </c>
      <c r="K161" s="7">
        <f>VLOOKUP(InputData[[#This Row],[PRODUCT ID]],MasterData[],6,)</f>
        <v>82.08</v>
      </c>
      <c r="L161" s="7">
        <f>InputData[[#This Row],[BUYING PRIZE]]*InputData[[#This Row],[QUANTITY]]</f>
        <v>1140</v>
      </c>
      <c r="M161" s="7">
        <f>InputData[[#This Row],[SELLING PRICE]]*InputData[[#This Row],[QUANTITY]]*(1-InputData[[#This Row],[DISCOUNT %]])</f>
        <v>1231.2</v>
      </c>
      <c r="N161">
        <f>DAY(InputData[[#This Row],[DATE]])</f>
        <v>29</v>
      </c>
      <c r="O161" t="str">
        <f>TEXT(InputData[[#This Row],[DATE]],"mmm")</f>
        <v>Jul</v>
      </c>
      <c r="P161">
        <f>YEAR(InputData[[#This Row],[DATE]])</f>
        <v>2021</v>
      </c>
    </row>
    <row r="162" spans="1:16" x14ac:dyDescent="0.3">
      <c r="A162" s="3">
        <v>44409</v>
      </c>
      <c r="B162" s="4" t="s">
        <v>6</v>
      </c>
      <c r="C162" s="5">
        <v>11</v>
      </c>
      <c r="D162" s="5" t="s">
        <v>108</v>
      </c>
      <c r="E162" s="5" t="s">
        <v>107</v>
      </c>
      <c r="F162" s="6">
        <v>0</v>
      </c>
      <c r="G162" t="str">
        <f>VLOOKUP(InputData[[#This Row],[PRODUCT ID]],MasterData[],2,)</f>
        <v>Product01</v>
      </c>
      <c r="H162" t="str">
        <f>VLOOKUP(InputData[[#This Row],[PRODUCT ID]],MasterData[],3,)</f>
        <v>Category01</v>
      </c>
      <c r="I162" t="str">
        <f>VLOOKUP(InputData[[#This Row],[PRODUCT ID]],MasterData[],4,)</f>
        <v>Kg</v>
      </c>
      <c r="J162" s="7">
        <f>VLOOKUP(InputData[[#This Row],[PRODUCT ID]],MasterData[],5,)</f>
        <v>98</v>
      </c>
      <c r="K162" s="7">
        <f>VLOOKUP(InputData[[#This Row],[PRODUCT ID]],MasterData[],6,)</f>
        <v>103.88</v>
      </c>
      <c r="L162" s="7">
        <f>InputData[[#This Row],[BUYING PRIZE]]*InputData[[#This Row],[QUANTITY]]</f>
        <v>1078</v>
      </c>
      <c r="M162" s="7">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3">
      <c r="A163" s="3">
        <v>44410</v>
      </c>
      <c r="B163" s="4" t="s">
        <v>54</v>
      </c>
      <c r="C163" s="5">
        <v>3</v>
      </c>
      <c r="D163" s="5" t="s">
        <v>108</v>
      </c>
      <c r="E163" s="5" t="s">
        <v>106</v>
      </c>
      <c r="F163" s="6">
        <v>0</v>
      </c>
      <c r="G163" t="str">
        <f>VLOOKUP(InputData[[#This Row],[PRODUCT ID]],MasterData[],2,)</f>
        <v>Product23</v>
      </c>
      <c r="H163" t="str">
        <f>VLOOKUP(InputData[[#This Row],[PRODUCT ID]],MasterData[],3,)</f>
        <v>Category03</v>
      </c>
      <c r="I163" t="str">
        <f>VLOOKUP(InputData[[#This Row],[PRODUCT ID]],MasterData[],4,)</f>
        <v>Ft</v>
      </c>
      <c r="J163" s="7">
        <f>VLOOKUP(InputData[[#This Row],[PRODUCT ID]],MasterData[],5,)</f>
        <v>141</v>
      </c>
      <c r="K163" s="7">
        <f>VLOOKUP(InputData[[#This Row],[PRODUCT ID]],MasterData[],6,)</f>
        <v>149.46</v>
      </c>
      <c r="L163" s="7">
        <f>InputData[[#This Row],[BUYING PRIZE]]*InputData[[#This Row],[QUANTITY]]</f>
        <v>423</v>
      </c>
      <c r="M163" s="7">
        <f>InputData[[#This Row],[SELLING PRICE]]*InputData[[#This Row],[QUANTITY]]*(1-InputData[[#This Row],[DISCOUNT %]])</f>
        <v>448.38</v>
      </c>
      <c r="N163">
        <f>DAY(InputData[[#This Row],[DATE]])</f>
        <v>2</v>
      </c>
      <c r="O163" t="str">
        <f>TEXT(InputData[[#This Row],[DATE]],"mmm")</f>
        <v>Aug</v>
      </c>
      <c r="P163">
        <f>YEAR(InputData[[#This Row],[DATE]])</f>
        <v>2021</v>
      </c>
    </row>
    <row r="164" spans="1:16" x14ac:dyDescent="0.3">
      <c r="A164" s="3">
        <v>44411</v>
      </c>
      <c r="B164" s="4" t="s">
        <v>52</v>
      </c>
      <c r="C164" s="5">
        <v>13</v>
      </c>
      <c r="D164" s="5" t="s">
        <v>106</v>
      </c>
      <c r="E164" s="5" t="s">
        <v>106</v>
      </c>
      <c r="F164" s="6">
        <v>0</v>
      </c>
      <c r="G164" t="str">
        <f>VLOOKUP(InputData[[#This Row],[PRODUCT ID]],MasterData[],2,)</f>
        <v>Product22</v>
      </c>
      <c r="H164" t="str">
        <f>VLOOKUP(InputData[[#This Row],[PRODUCT ID]],MasterData[],3,)</f>
        <v>Category03</v>
      </c>
      <c r="I164" t="str">
        <f>VLOOKUP(InputData[[#This Row],[PRODUCT ID]],MasterData[],4,)</f>
        <v>Ft</v>
      </c>
      <c r="J164" s="7">
        <f>VLOOKUP(InputData[[#This Row],[PRODUCT ID]],MasterData[],5,)</f>
        <v>121</v>
      </c>
      <c r="K164" s="7">
        <f>VLOOKUP(InputData[[#This Row],[PRODUCT ID]],MasterData[],6,)</f>
        <v>141.57</v>
      </c>
      <c r="L164" s="7">
        <f>InputData[[#This Row],[BUYING PRIZE]]*InputData[[#This Row],[QUANTITY]]</f>
        <v>1573</v>
      </c>
      <c r="M164" s="7">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3">
      <c r="A165" s="3">
        <v>44411</v>
      </c>
      <c r="B165" s="4" t="s">
        <v>77</v>
      </c>
      <c r="C165" s="5">
        <v>12</v>
      </c>
      <c r="D165" s="5" t="s">
        <v>106</v>
      </c>
      <c r="E165" s="5" t="s">
        <v>106</v>
      </c>
      <c r="F165" s="6">
        <v>0</v>
      </c>
      <c r="G165" t="str">
        <f>VLOOKUP(InputData[[#This Row],[PRODUCT ID]],MasterData[],2,)</f>
        <v>Product34</v>
      </c>
      <c r="H165" t="str">
        <f>VLOOKUP(InputData[[#This Row],[PRODUCT ID]],MasterData[],3,)</f>
        <v>Category04</v>
      </c>
      <c r="I165" t="str">
        <f>VLOOKUP(InputData[[#This Row],[PRODUCT ID]],MasterData[],4,)</f>
        <v>Lt</v>
      </c>
      <c r="J165" s="7">
        <f>VLOOKUP(InputData[[#This Row],[PRODUCT ID]],MasterData[],5,)</f>
        <v>55</v>
      </c>
      <c r="K165" s="7">
        <f>VLOOKUP(InputData[[#This Row],[PRODUCT ID]],MasterData[],6,)</f>
        <v>58.3</v>
      </c>
      <c r="L165" s="7">
        <f>InputData[[#This Row],[BUYING PRIZE]]*InputData[[#This Row],[QUANTITY]]</f>
        <v>660</v>
      </c>
      <c r="M165" s="7">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3">
      <c r="A166" s="3">
        <v>44413</v>
      </c>
      <c r="B166" s="4" t="s">
        <v>65</v>
      </c>
      <c r="C166" s="5">
        <v>14</v>
      </c>
      <c r="D166" s="5" t="s">
        <v>108</v>
      </c>
      <c r="E166" s="5" t="s">
        <v>107</v>
      </c>
      <c r="F166" s="6">
        <v>0</v>
      </c>
      <c r="G166" t="str">
        <f>VLOOKUP(InputData[[#This Row],[PRODUCT ID]],MasterData[],2,)</f>
        <v>Product28</v>
      </c>
      <c r="H166" t="str">
        <f>VLOOKUP(InputData[[#This Row],[PRODUCT ID]],MasterData[],3,)</f>
        <v>Category04</v>
      </c>
      <c r="I166" t="str">
        <f>VLOOKUP(InputData[[#This Row],[PRODUCT ID]],MasterData[],4,)</f>
        <v>No.</v>
      </c>
      <c r="J166" s="7">
        <f>VLOOKUP(InputData[[#This Row],[PRODUCT ID]],MasterData[],5,)</f>
        <v>37</v>
      </c>
      <c r="K166" s="7">
        <f>VLOOKUP(InputData[[#This Row],[PRODUCT ID]],MasterData[],6,)</f>
        <v>41.81</v>
      </c>
      <c r="L166" s="7">
        <f>InputData[[#This Row],[BUYING PRIZE]]*InputData[[#This Row],[QUANTITY]]</f>
        <v>518</v>
      </c>
      <c r="M166" s="7">
        <f>InputData[[#This Row],[SELLING PRICE]]*InputData[[#This Row],[QUANTITY]]*(1-InputData[[#This Row],[DISCOUNT %]])</f>
        <v>585.34</v>
      </c>
      <c r="N166">
        <f>DAY(InputData[[#This Row],[DATE]])</f>
        <v>5</v>
      </c>
      <c r="O166" t="str">
        <f>TEXT(InputData[[#This Row],[DATE]],"mmm")</f>
        <v>Aug</v>
      </c>
      <c r="P166">
        <f>YEAR(InputData[[#This Row],[DATE]])</f>
        <v>2021</v>
      </c>
    </row>
    <row r="167" spans="1:16" x14ac:dyDescent="0.3">
      <c r="A167" s="3">
        <v>44414</v>
      </c>
      <c r="B167" s="4" t="s">
        <v>83</v>
      </c>
      <c r="C167" s="5">
        <v>1</v>
      </c>
      <c r="D167" s="5" t="s">
        <v>105</v>
      </c>
      <c r="E167" s="5" t="s">
        <v>107</v>
      </c>
      <c r="F167" s="6">
        <v>0</v>
      </c>
      <c r="G167" t="str">
        <f>VLOOKUP(InputData[[#This Row],[PRODUCT ID]],MasterData[],2,)</f>
        <v>Product37</v>
      </c>
      <c r="H167" t="str">
        <f>VLOOKUP(InputData[[#This Row],[PRODUCT ID]],MasterData[],3,)</f>
        <v>Category05</v>
      </c>
      <c r="I167" t="str">
        <f>VLOOKUP(InputData[[#This Row],[PRODUCT ID]],MasterData[],4,)</f>
        <v>Kg</v>
      </c>
      <c r="J167" s="7">
        <f>VLOOKUP(InputData[[#This Row],[PRODUCT ID]],MasterData[],5,)</f>
        <v>67</v>
      </c>
      <c r="K167" s="7">
        <f>VLOOKUP(InputData[[#This Row],[PRODUCT ID]],MasterData[],6,)</f>
        <v>85.76</v>
      </c>
      <c r="L167" s="7">
        <f>InputData[[#This Row],[BUYING PRIZE]]*InputData[[#This Row],[QUANTITY]]</f>
        <v>67</v>
      </c>
      <c r="M167" s="7">
        <f>InputData[[#This Row],[SELLING PRICE]]*InputData[[#This Row],[QUANTITY]]*(1-InputData[[#This Row],[DISCOUNT %]])</f>
        <v>85.76</v>
      </c>
      <c r="N167">
        <f>DAY(InputData[[#This Row],[DATE]])</f>
        <v>6</v>
      </c>
      <c r="O167" t="str">
        <f>TEXT(InputData[[#This Row],[DATE]],"mmm")</f>
        <v>Aug</v>
      </c>
      <c r="P167">
        <f>YEAR(InputData[[#This Row],[DATE]])</f>
        <v>2021</v>
      </c>
    </row>
    <row r="168" spans="1:16" x14ac:dyDescent="0.3">
      <c r="A168" s="3">
        <v>44418</v>
      </c>
      <c r="B168" s="4" t="s">
        <v>16</v>
      </c>
      <c r="C168" s="5">
        <v>4</v>
      </c>
      <c r="D168" s="5" t="s">
        <v>105</v>
      </c>
      <c r="E168" s="5" t="s">
        <v>107</v>
      </c>
      <c r="F168" s="6">
        <v>0</v>
      </c>
      <c r="G168" t="str">
        <f>VLOOKUP(InputData[[#This Row],[PRODUCT ID]],MasterData[],2,)</f>
        <v>Product05</v>
      </c>
      <c r="H168" t="str">
        <f>VLOOKUP(InputData[[#This Row],[PRODUCT ID]],MasterData[],3,)</f>
        <v>Category01</v>
      </c>
      <c r="I168" t="str">
        <f>VLOOKUP(InputData[[#This Row],[PRODUCT ID]],MasterData[],4,)</f>
        <v>Ft</v>
      </c>
      <c r="J168" s="7">
        <f>VLOOKUP(InputData[[#This Row],[PRODUCT ID]],MasterData[],5,)</f>
        <v>133</v>
      </c>
      <c r="K168" s="7">
        <f>VLOOKUP(InputData[[#This Row],[PRODUCT ID]],MasterData[],6,)</f>
        <v>155.61000000000001</v>
      </c>
      <c r="L168" s="7">
        <f>InputData[[#This Row],[BUYING PRIZE]]*InputData[[#This Row],[QUANTITY]]</f>
        <v>532</v>
      </c>
      <c r="M168" s="7">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3">
      <c r="A169" s="3">
        <v>44418</v>
      </c>
      <c r="B169" s="4" t="s">
        <v>98</v>
      </c>
      <c r="C169" s="5">
        <v>10</v>
      </c>
      <c r="D169" s="5" t="s">
        <v>106</v>
      </c>
      <c r="E169" s="5" t="s">
        <v>107</v>
      </c>
      <c r="F169" s="6">
        <v>0</v>
      </c>
      <c r="G169" t="str">
        <f>VLOOKUP(InputData[[#This Row],[PRODUCT ID]],MasterData[],2,)</f>
        <v>Product44</v>
      </c>
      <c r="H169" t="str">
        <f>VLOOKUP(InputData[[#This Row],[PRODUCT ID]],MasterData[],3,)</f>
        <v>Category05</v>
      </c>
      <c r="I169" t="str">
        <f>VLOOKUP(InputData[[#This Row],[PRODUCT ID]],MasterData[],4,)</f>
        <v>Kg</v>
      </c>
      <c r="J169" s="7">
        <f>VLOOKUP(InputData[[#This Row],[PRODUCT ID]],MasterData[],5,)</f>
        <v>76</v>
      </c>
      <c r="K169" s="7">
        <f>VLOOKUP(InputData[[#This Row],[PRODUCT ID]],MasterData[],6,)</f>
        <v>82.08</v>
      </c>
      <c r="L169" s="7">
        <f>InputData[[#This Row],[BUYING PRIZE]]*InputData[[#This Row],[QUANTITY]]</f>
        <v>760</v>
      </c>
      <c r="M169" s="7">
        <f>InputData[[#This Row],[SELLING PRICE]]*InputData[[#This Row],[QUANTITY]]*(1-InputData[[#This Row],[DISCOUNT %]])</f>
        <v>820.8</v>
      </c>
      <c r="N169">
        <f>DAY(InputData[[#This Row],[DATE]])</f>
        <v>10</v>
      </c>
      <c r="O169" t="str">
        <f>TEXT(InputData[[#This Row],[DATE]],"mmm")</f>
        <v>Aug</v>
      </c>
      <c r="P169">
        <f>YEAR(InputData[[#This Row],[DATE]])</f>
        <v>2021</v>
      </c>
    </row>
    <row r="170" spans="1:16" x14ac:dyDescent="0.3">
      <c r="A170" s="3">
        <v>44418</v>
      </c>
      <c r="B170" s="4" t="s">
        <v>18</v>
      </c>
      <c r="C170" s="5">
        <v>6</v>
      </c>
      <c r="D170" s="5" t="s">
        <v>108</v>
      </c>
      <c r="E170" s="5" t="s">
        <v>107</v>
      </c>
      <c r="F170" s="6">
        <v>0</v>
      </c>
      <c r="G170" t="str">
        <f>VLOOKUP(InputData[[#This Row],[PRODUCT ID]],MasterData[],2,)</f>
        <v>Product06</v>
      </c>
      <c r="H170" t="str">
        <f>VLOOKUP(InputData[[#This Row],[PRODUCT ID]],MasterData[],3,)</f>
        <v>Category01</v>
      </c>
      <c r="I170" t="str">
        <f>VLOOKUP(InputData[[#This Row],[PRODUCT ID]],MasterData[],4,)</f>
        <v>Kg</v>
      </c>
      <c r="J170" s="7">
        <f>VLOOKUP(InputData[[#This Row],[PRODUCT ID]],MasterData[],5,)</f>
        <v>75</v>
      </c>
      <c r="K170" s="7">
        <f>VLOOKUP(InputData[[#This Row],[PRODUCT ID]],MasterData[],6,)</f>
        <v>85.5</v>
      </c>
      <c r="L170" s="7">
        <f>InputData[[#This Row],[BUYING PRIZE]]*InputData[[#This Row],[QUANTITY]]</f>
        <v>450</v>
      </c>
      <c r="M170" s="7">
        <f>InputData[[#This Row],[SELLING PRICE]]*InputData[[#This Row],[QUANTITY]]*(1-InputData[[#This Row],[DISCOUNT %]])</f>
        <v>513</v>
      </c>
      <c r="N170">
        <f>DAY(InputData[[#This Row],[DATE]])</f>
        <v>10</v>
      </c>
      <c r="O170" t="str">
        <f>TEXT(InputData[[#This Row],[DATE]],"mmm")</f>
        <v>Aug</v>
      </c>
      <c r="P170">
        <f>YEAR(InputData[[#This Row],[DATE]])</f>
        <v>2021</v>
      </c>
    </row>
    <row r="171" spans="1:16" x14ac:dyDescent="0.3">
      <c r="A171" s="3">
        <v>44419</v>
      </c>
      <c r="B171" s="4" t="s">
        <v>54</v>
      </c>
      <c r="C171" s="5">
        <v>4</v>
      </c>
      <c r="D171" s="5" t="s">
        <v>108</v>
      </c>
      <c r="E171" s="5" t="s">
        <v>106</v>
      </c>
      <c r="F171" s="6">
        <v>0</v>
      </c>
      <c r="G171" t="str">
        <f>VLOOKUP(InputData[[#This Row],[PRODUCT ID]],MasterData[],2,)</f>
        <v>Product23</v>
      </c>
      <c r="H171" t="str">
        <f>VLOOKUP(InputData[[#This Row],[PRODUCT ID]],MasterData[],3,)</f>
        <v>Category03</v>
      </c>
      <c r="I171" t="str">
        <f>VLOOKUP(InputData[[#This Row],[PRODUCT ID]],MasterData[],4,)</f>
        <v>Ft</v>
      </c>
      <c r="J171" s="7">
        <f>VLOOKUP(InputData[[#This Row],[PRODUCT ID]],MasterData[],5,)</f>
        <v>141</v>
      </c>
      <c r="K171" s="7">
        <f>VLOOKUP(InputData[[#This Row],[PRODUCT ID]],MasterData[],6,)</f>
        <v>149.46</v>
      </c>
      <c r="L171" s="7">
        <f>InputData[[#This Row],[BUYING PRIZE]]*InputData[[#This Row],[QUANTITY]]</f>
        <v>564</v>
      </c>
      <c r="M171" s="7">
        <f>InputData[[#This Row],[SELLING PRICE]]*InputData[[#This Row],[QUANTITY]]*(1-InputData[[#This Row],[DISCOUNT %]])</f>
        <v>597.84</v>
      </c>
      <c r="N171">
        <f>DAY(InputData[[#This Row],[DATE]])</f>
        <v>11</v>
      </c>
      <c r="O171" t="str">
        <f>TEXT(InputData[[#This Row],[DATE]],"mmm")</f>
        <v>Aug</v>
      </c>
      <c r="P171">
        <f>YEAR(InputData[[#This Row],[DATE]])</f>
        <v>2021</v>
      </c>
    </row>
    <row r="172" spans="1:16" x14ac:dyDescent="0.3">
      <c r="A172" s="3">
        <v>44421</v>
      </c>
      <c r="B172" s="4" t="s">
        <v>29</v>
      </c>
      <c r="C172" s="5">
        <v>13</v>
      </c>
      <c r="D172" s="5" t="s">
        <v>108</v>
      </c>
      <c r="E172" s="5" t="s">
        <v>106</v>
      </c>
      <c r="F172" s="6">
        <v>0</v>
      </c>
      <c r="G172" t="str">
        <f>VLOOKUP(InputData[[#This Row],[PRODUCT ID]],MasterData[],2,)</f>
        <v>Product11</v>
      </c>
      <c r="H172" t="str">
        <f>VLOOKUP(InputData[[#This Row],[PRODUCT ID]],MasterData[],3,)</f>
        <v>Category02</v>
      </c>
      <c r="I172" t="str">
        <f>VLOOKUP(InputData[[#This Row],[PRODUCT ID]],MasterData[],4,)</f>
        <v>Lt</v>
      </c>
      <c r="J172" s="7">
        <f>VLOOKUP(InputData[[#This Row],[PRODUCT ID]],MasterData[],5,)</f>
        <v>44</v>
      </c>
      <c r="K172" s="7">
        <f>VLOOKUP(InputData[[#This Row],[PRODUCT ID]],MasterData[],6,)</f>
        <v>48.4</v>
      </c>
      <c r="L172" s="7">
        <f>InputData[[#This Row],[BUYING PRIZE]]*InputData[[#This Row],[QUANTITY]]</f>
        <v>572</v>
      </c>
      <c r="M172" s="7">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3">
      <c r="A173" s="3">
        <v>44421</v>
      </c>
      <c r="B173" s="4" t="s">
        <v>63</v>
      </c>
      <c r="C173" s="5">
        <v>9</v>
      </c>
      <c r="D173" s="5" t="s">
        <v>108</v>
      </c>
      <c r="E173" s="5" t="s">
        <v>106</v>
      </c>
      <c r="F173" s="6">
        <v>0</v>
      </c>
      <c r="G173" t="str">
        <f>VLOOKUP(InputData[[#This Row],[PRODUCT ID]],MasterData[],2,)</f>
        <v>Product27</v>
      </c>
      <c r="H173" t="str">
        <f>VLOOKUP(InputData[[#This Row],[PRODUCT ID]],MasterData[],3,)</f>
        <v>Category04</v>
      </c>
      <c r="I173" t="str">
        <f>VLOOKUP(InputData[[#This Row],[PRODUCT ID]],MasterData[],4,)</f>
        <v>Lt</v>
      </c>
      <c r="J173" s="7">
        <f>VLOOKUP(InputData[[#This Row],[PRODUCT ID]],MasterData[],5,)</f>
        <v>48</v>
      </c>
      <c r="K173" s="7">
        <f>VLOOKUP(InputData[[#This Row],[PRODUCT ID]],MasterData[],6,)</f>
        <v>57.120000000000005</v>
      </c>
      <c r="L173" s="7">
        <f>InputData[[#This Row],[BUYING PRIZE]]*InputData[[#This Row],[QUANTITY]]</f>
        <v>432</v>
      </c>
      <c r="M173" s="7">
        <f>InputData[[#This Row],[SELLING PRICE]]*InputData[[#This Row],[QUANTITY]]*(1-InputData[[#This Row],[DISCOUNT %]])</f>
        <v>514.08000000000004</v>
      </c>
      <c r="N173">
        <f>DAY(InputData[[#This Row],[DATE]])</f>
        <v>13</v>
      </c>
      <c r="O173" t="str">
        <f>TEXT(InputData[[#This Row],[DATE]],"mmm")</f>
        <v>Aug</v>
      </c>
      <c r="P173">
        <f>YEAR(InputData[[#This Row],[DATE]])</f>
        <v>2021</v>
      </c>
    </row>
    <row r="174" spans="1:16" x14ac:dyDescent="0.3">
      <c r="A174" s="3">
        <v>44424</v>
      </c>
      <c r="B174" s="4" t="s">
        <v>12</v>
      </c>
      <c r="C174" s="5">
        <v>3</v>
      </c>
      <c r="D174" s="5" t="s">
        <v>106</v>
      </c>
      <c r="E174" s="5" t="s">
        <v>106</v>
      </c>
      <c r="F174" s="6">
        <v>0</v>
      </c>
      <c r="G174" t="str">
        <f>VLOOKUP(InputData[[#This Row],[PRODUCT ID]],MasterData[],2,)</f>
        <v>Product03</v>
      </c>
      <c r="H174" t="str">
        <f>VLOOKUP(InputData[[#This Row],[PRODUCT ID]],MasterData[],3,)</f>
        <v>Category01</v>
      </c>
      <c r="I174" t="str">
        <f>VLOOKUP(InputData[[#This Row],[PRODUCT ID]],MasterData[],4,)</f>
        <v>Kg</v>
      </c>
      <c r="J174" s="7">
        <f>VLOOKUP(InputData[[#This Row],[PRODUCT ID]],MasterData[],5,)</f>
        <v>71</v>
      </c>
      <c r="K174" s="7">
        <f>VLOOKUP(InputData[[#This Row],[PRODUCT ID]],MasterData[],6,)</f>
        <v>80.94</v>
      </c>
      <c r="L174" s="7">
        <f>InputData[[#This Row],[BUYING PRIZE]]*InputData[[#This Row],[QUANTITY]]</f>
        <v>213</v>
      </c>
      <c r="M174" s="7">
        <f>InputData[[#This Row],[SELLING PRICE]]*InputData[[#This Row],[QUANTITY]]*(1-InputData[[#This Row],[DISCOUNT %]])</f>
        <v>242.82</v>
      </c>
      <c r="N174">
        <f>DAY(InputData[[#This Row],[DATE]])</f>
        <v>16</v>
      </c>
      <c r="O174" t="str">
        <f>TEXT(InputData[[#This Row],[DATE]],"mmm")</f>
        <v>Aug</v>
      </c>
      <c r="P174">
        <f>YEAR(InputData[[#This Row],[DATE]])</f>
        <v>2021</v>
      </c>
    </row>
    <row r="175" spans="1:16" x14ac:dyDescent="0.3">
      <c r="A175" s="3">
        <v>44426</v>
      </c>
      <c r="B175" s="4" t="s">
        <v>58</v>
      </c>
      <c r="C175" s="5">
        <v>6</v>
      </c>
      <c r="D175" s="5" t="s">
        <v>108</v>
      </c>
      <c r="E175" s="5" t="s">
        <v>106</v>
      </c>
      <c r="F175" s="6">
        <v>0</v>
      </c>
      <c r="G175" t="str">
        <f>VLOOKUP(InputData[[#This Row],[PRODUCT ID]],MasterData[],2,)</f>
        <v>Product25</v>
      </c>
      <c r="H175" t="str">
        <f>VLOOKUP(InputData[[#This Row],[PRODUCT ID]],MasterData[],3,)</f>
        <v>Category03</v>
      </c>
      <c r="I175" t="str">
        <f>VLOOKUP(InputData[[#This Row],[PRODUCT ID]],MasterData[],4,)</f>
        <v>No.</v>
      </c>
      <c r="J175" s="7">
        <f>VLOOKUP(InputData[[#This Row],[PRODUCT ID]],MasterData[],5,)</f>
        <v>7</v>
      </c>
      <c r="K175" s="7">
        <f>VLOOKUP(InputData[[#This Row],[PRODUCT ID]],MasterData[],6,)</f>
        <v>8.33</v>
      </c>
      <c r="L175" s="7">
        <f>InputData[[#This Row],[BUYING PRIZE]]*InputData[[#This Row],[QUANTITY]]</f>
        <v>42</v>
      </c>
      <c r="M175" s="7">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3">
      <c r="A176" s="3">
        <v>44428</v>
      </c>
      <c r="B176" s="4" t="s">
        <v>47</v>
      </c>
      <c r="C176" s="5">
        <v>15</v>
      </c>
      <c r="D176" s="5" t="s">
        <v>108</v>
      </c>
      <c r="E176" s="5" t="s">
        <v>107</v>
      </c>
      <c r="F176" s="6">
        <v>0</v>
      </c>
      <c r="G176" t="str">
        <f>VLOOKUP(InputData[[#This Row],[PRODUCT ID]],MasterData[],2,)</f>
        <v>Product20</v>
      </c>
      <c r="H176" t="str">
        <f>VLOOKUP(InputData[[#This Row],[PRODUCT ID]],MasterData[],3,)</f>
        <v>Category03</v>
      </c>
      <c r="I176" t="str">
        <f>VLOOKUP(InputData[[#This Row],[PRODUCT ID]],MasterData[],4,)</f>
        <v>Lt</v>
      </c>
      <c r="J176" s="7">
        <f>VLOOKUP(InputData[[#This Row],[PRODUCT ID]],MasterData[],5,)</f>
        <v>61</v>
      </c>
      <c r="K176" s="7">
        <f>VLOOKUP(InputData[[#This Row],[PRODUCT ID]],MasterData[],6,)</f>
        <v>76.25</v>
      </c>
      <c r="L176" s="7">
        <f>InputData[[#This Row],[BUYING PRIZE]]*InputData[[#This Row],[QUANTITY]]</f>
        <v>915</v>
      </c>
      <c r="M176" s="7">
        <f>InputData[[#This Row],[SELLING PRICE]]*InputData[[#This Row],[QUANTITY]]*(1-InputData[[#This Row],[DISCOUNT %]])</f>
        <v>1143.75</v>
      </c>
      <c r="N176">
        <f>DAY(InputData[[#This Row],[DATE]])</f>
        <v>20</v>
      </c>
      <c r="O176" t="str">
        <f>TEXT(InputData[[#This Row],[DATE]],"mmm")</f>
        <v>Aug</v>
      </c>
      <c r="P176">
        <f>YEAR(InputData[[#This Row],[DATE]])</f>
        <v>2021</v>
      </c>
    </row>
    <row r="177" spans="1:16" x14ac:dyDescent="0.3">
      <c r="A177" s="3">
        <v>44428</v>
      </c>
      <c r="B177" s="4" t="s">
        <v>71</v>
      </c>
      <c r="C177" s="5">
        <v>9</v>
      </c>
      <c r="D177" s="5" t="s">
        <v>108</v>
      </c>
      <c r="E177" s="5" t="s">
        <v>106</v>
      </c>
      <c r="F177" s="6">
        <v>0</v>
      </c>
      <c r="G177" t="str">
        <f>VLOOKUP(InputData[[#This Row],[PRODUCT ID]],MasterData[],2,)</f>
        <v>Product31</v>
      </c>
      <c r="H177" t="str">
        <f>VLOOKUP(InputData[[#This Row],[PRODUCT ID]],MasterData[],3,)</f>
        <v>Category04</v>
      </c>
      <c r="I177" t="str">
        <f>VLOOKUP(InputData[[#This Row],[PRODUCT ID]],MasterData[],4,)</f>
        <v>Kg</v>
      </c>
      <c r="J177" s="7">
        <f>VLOOKUP(InputData[[#This Row],[PRODUCT ID]],MasterData[],5,)</f>
        <v>93</v>
      </c>
      <c r="K177" s="7">
        <f>VLOOKUP(InputData[[#This Row],[PRODUCT ID]],MasterData[],6,)</f>
        <v>104.16</v>
      </c>
      <c r="L177" s="7">
        <f>InputData[[#This Row],[BUYING PRIZE]]*InputData[[#This Row],[QUANTITY]]</f>
        <v>837</v>
      </c>
      <c r="M177" s="7">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3">
      <c r="A178" s="3">
        <v>44428</v>
      </c>
      <c r="B178" s="4" t="s">
        <v>65</v>
      </c>
      <c r="C178" s="5">
        <v>13</v>
      </c>
      <c r="D178" s="5" t="s">
        <v>108</v>
      </c>
      <c r="E178" s="5" t="s">
        <v>106</v>
      </c>
      <c r="F178" s="6">
        <v>0</v>
      </c>
      <c r="G178" t="str">
        <f>VLOOKUP(InputData[[#This Row],[PRODUCT ID]],MasterData[],2,)</f>
        <v>Product28</v>
      </c>
      <c r="H178" t="str">
        <f>VLOOKUP(InputData[[#This Row],[PRODUCT ID]],MasterData[],3,)</f>
        <v>Category04</v>
      </c>
      <c r="I178" t="str">
        <f>VLOOKUP(InputData[[#This Row],[PRODUCT ID]],MasterData[],4,)</f>
        <v>No.</v>
      </c>
      <c r="J178" s="7">
        <f>VLOOKUP(InputData[[#This Row],[PRODUCT ID]],MasterData[],5,)</f>
        <v>37</v>
      </c>
      <c r="K178" s="7">
        <f>VLOOKUP(InputData[[#This Row],[PRODUCT ID]],MasterData[],6,)</f>
        <v>41.81</v>
      </c>
      <c r="L178" s="7">
        <f>InputData[[#This Row],[BUYING PRIZE]]*InputData[[#This Row],[QUANTITY]]</f>
        <v>481</v>
      </c>
      <c r="M178" s="7">
        <f>InputData[[#This Row],[SELLING PRICE]]*InputData[[#This Row],[QUANTITY]]*(1-InputData[[#This Row],[DISCOUNT %]])</f>
        <v>543.53</v>
      </c>
      <c r="N178">
        <f>DAY(InputData[[#This Row],[DATE]])</f>
        <v>20</v>
      </c>
      <c r="O178" t="str">
        <f>TEXT(InputData[[#This Row],[DATE]],"mmm")</f>
        <v>Aug</v>
      </c>
      <c r="P178">
        <f>YEAR(InputData[[#This Row],[DATE]])</f>
        <v>2021</v>
      </c>
    </row>
    <row r="179" spans="1:16" x14ac:dyDescent="0.3">
      <c r="A179" s="3">
        <v>44434</v>
      </c>
      <c r="B179" s="4" t="s">
        <v>88</v>
      </c>
      <c r="C179" s="5">
        <v>4</v>
      </c>
      <c r="D179" s="5" t="s">
        <v>108</v>
      </c>
      <c r="E179" s="5" t="s">
        <v>106</v>
      </c>
      <c r="F179" s="6">
        <v>0</v>
      </c>
      <c r="G179" t="str">
        <f>VLOOKUP(InputData[[#This Row],[PRODUCT ID]],MasterData[],2,)</f>
        <v>Product39</v>
      </c>
      <c r="H179" t="str">
        <f>VLOOKUP(InputData[[#This Row],[PRODUCT ID]],MasterData[],3,)</f>
        <v>Category05</v>
      </c>
      <c r="I179" t="str">
        <f>VLOOKUP(InputData[[#This Row],[PRODUCT ID]],MasterData[],4,)</f>
        <v>No.</v>
      </c>
      <c r="J179" s="7">
        <f>VLOOKUP(InputData[[#This Row],[PRODUCT ID]],MasterData[],5,)</f>
        <v>37</v>
      </c>
      <c r="K179" s="7">
        <f>VLOOKUP(InputData[[#This Row],[PRODUCT ID]],MasterData[],6,)</f>
        <v>42.55</v>
      </c>
      <c r="L179" s="7">
        <f>InputData[[#This Row],[BUYING PRIZE]]*InputData[[#This Row],[QUANTITY]]</f>
        <v>148</v>
      </c>
      <c r="M179" s="7">
        <f>InputData[[#This Row],[SELLING PRICE]]*InputData[[#This Row],[QUANTITY]]*(1-InputData[[#This Row],[DISCOUNT %]])</f>
        <v>170.2</v>
      </c>
      <c r="N179">
        <f>DAY(InputData[[#This Row],[DATE]])</f>
        <v>26</v>
      </c>
      <c r="O179" t="str">
        <f>TEXT(InputData[[#This Row],[DATE]],"mmm")</f>
        <v>Aug</v>
      </c>
      <c r="P179">
        <f>YEAR(InputData[[#This Row],[DATE]])</f>
        <v>2021</v>
      </c>
    </row>
    <row r="180" spans="1:16" x14ac:dyDescent="0.3">
      <c r="A180" s="3">
        <v>44437</v>
      </c>
      <c r="B180" s="4" t="s">
        <v>77</v>
      </c>
      <c r="C180" s="5">
        <v>12</v>
      </c>
      <c r="D180" s="5" t="s">
        <v>105</v>
      </c>
      <c r="E180" s="5" t="s">
        <v>106</v>
      </c>
      <c r="F180" s="6">
        <v>0</v>
      </c>
      <c r="G180" t="str">
        <f>VLOOKUP(InputData[[#This Row],[PRODUCT ID]],MasterData[],2,)</f>
        <v>Product34</v>
      </c>
      <c r="H180" t="str">
        <f>VLOOKUP(InputData[[#This Row],[PRODUCT ID]],MasterData[],3,)</f>
        <v>Category04</v>
      </c>
      <c r="I180" t="str">
        <f>VLOOKUP(InputData[[#This Row],[PRODUCT ID]],MasterData[],4,)</f>
        <v>Lt</v>
      </c>
      <c r="J180" s="7">
        <f>VLOOKUP(InputData[[#This Row],[PRODUCT ID]],MasterData[],5,)</f>
        <v>55</v>
      </c>
      <c r="K180" s="7">
        <f>VLOOKUP(InputData[[#This Row],[PRODUCT ID]],MasterData[],6,)</f>
        <v>58.3</v>
      </c>
      <c r="L180" s="7">
        <f>InputData[[#This Row],[BUYING PRIZE]]*InputData[[#This Row],[QUANTITY]]</f>
        <v>660</v>
      </c>
      <c r="M180" s="7">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3">
      <c r="A181" s="3">
        <v>44438</v>
      </c>
      <c r="B181" s="4" t="s">
        <v>33</v>
      </c>
      <c r="C181" s="5">
        <v>13</v>
      </c>
      <c r="D181" s="5" t="s">
        <v>108</v>
      </c>
      <c r="E181" s="5" t="s">
        <v>106</v>
      </c>
      <c r="F181" s="6">
        <v>0</v>
      </c>
      <c r="G181" t="str">
        <f>VLOOKUP(InputData[[#This Row],[PRODUCT ID]],MasterData[],2,)</f>
        <v>Product13</v>
      </c>
      <c r="H181" t="str">
        <f>VLOOKUP(InputData[[#This Row],[PRODUCT ID]],MasterData[],3,)</f>
        <v>Category02</v>
      </c>
      <c r="I181" t="str">
        <f>VLOOKUP(InputData[[#This Row],[PRODUCT ID]],MasterData[],4,)</f>
        <v>Kg</v>
      </c>
      <c r="J181" s="7">
        <f>VLOOKUP(InputData[[#This Row],[PRODUCT ID]],MasterData[],5,)</f>
        <v>112</v>
      </c>
      <c r="K181" s="7">
        <f>VLOOKUP(InputData[[#This Row],[PRODUCT ID]],MasterData[],6,)</f>
        <v>122.08</v>
      </c>
      <c r="L181" s="7">
        <f>InputData[[#This Row],[BUYING PRIZE]]*InputData[[#This Row],[QUANTITY]]</f>
        <v>1456</v>
      </c>
      <c r="M181" s="7">
        <f>InputData[[#This Row],[SELLING PRICE]]*InputData[[#This Row],[QUANTITY]]*(1-InputData[[#This Row],[DISCOUNT %]])</f>
        <v>1587.04</v>
      </c>
      <c r="N181">
        <f>DAY(InputData[[#This Row],[DATE]])</f>
        <v>30</v>
      </c>
      <c r="O181" t="str">
        <f>TEXT(InputData[[#This Row],[DATE]],"mmm")</f>
        <v>Aug</v>
      </c>
      <c r="P181">
        <f>YEAR(InputData[[#This Row],[DATE]])</f>
        <v>2021</v>
      </c>
    </row>
    <row r="182" spans="1:16" x14ac:dyDescent="0.3">
      <c r="A182" s="3">
        <v>44439</v>
      </c>
      <c r="B182" s="4" t="s">
        <v>6</v>
      </c>
      <c r="C182" s="5">
        <v>2</v>
      </c>
      <c r="D182" s="5" t="s">
        <v>108</v>
      </c>
      <c r="E182" s="5" t="s">
        <v>106</v>
      </c>
      <c r="F182" s="6">
        <v>0</v>
      </c>
      <c r="G182" t="str">
        <f>VLOOKUP(InputData[[#This Row],[PRODUCT ID]],MasterData[],2,)</f>
        <v>Product01</v>
      </c>
      <c r="H182" t="str">
        <f>VLOOKUP(InputData[[#This Row],[PRODUCT ID]],MasterData[],3,)</f>
        <v>Category01</v>
      </c>
      <c r="I182" t="str">
        <f>VLOOKUP(InputData[[#This Row],[PRODUCT ID]],MasterData[],4,)</f>
        <v>Kg</v>
      </c>
      <c r="J182" s="7">
        <f>VLOOKUP(InputData[[#This Row],[PRODUCT ID]],MasterData[],5,)</f>
        <v>98</v>
      </c>
      <c r="K182" s="7">
        <f>VLOOKUP(InputData[[#This Row],[PRODUCT ID]],MasterData[],6,)</f>
        <v>103.88</v>
      </c>
      <c r="L182" s="7">
        <f>InputData[[#This Row],[BUYING PRIZE]]*InputData[[#This Row],[QUANTITY]]</f>
        <v>196</v>
      </c>
      <c r="M182" s="7">
        <f>InputData[[#This Row],[SELLING PRICE]]*InputData[[#This Row],[QUANTITY]]*(1-InputData[[#This Row],[DISCOUNT %]])</f>
        <v>207.76</v>
      </c>
      <c r="N182">
        <f>DAY(InputData[[#This Row],[DATE]])</f>
        <v>31</v>
      </c>
      <c r="O182" t="str">
        <f>TEXT(InputData[[#This Row],[DATE]],"mmm")</f>
        <v>Aug</v>
      </c>
      <c r="P182">
        <f>YEAR(InputData[[#This Row],[DATE]])</f>
        <v>2021</v>
      </c>
    </row>
    <row r="183" spans="1:16" x14ac:dyDescent="0.3">
      <c r="A183" s="3">
        <v>44439</v>
      </c>
      <c r="B183" s="4" t="s">
        <v>79</v>
      </c>
      <c r="C183" s="5">
        <v>11</v>
      </c>
      <c r="D183" s="5" t="s">
        <v>108</v>
      </c>
      <c r="E183" s="5" t="s">
        <v>106</v>
      </c>
      <c r="F183" s="6">
        <v>0</v>
      </c>
      <c r="G183" t="str">
        <f>VLOOKUP(InputData[[#This Row],[PRODUCT ID]],MasterData[],2,)</f>
        <v>Product35</v>
      </c>
      <c r="H183" t="str">
        <f>VLOOKUP(InputData[[#This Row],[PRODUCT ID]],MasterData[],3,)</f>
        <v>Category04</v>
      </c>
      <c r="I183" t="str">
        <f>VLOOKUP(InputData[[#This Row],[PRODUCT ID]],MasterData[],4,)</f>
        <v>No.</v>
      </c>
      <c r="J183" s="7">
        <f>VLOOKUP(InputData[[#This Row],[PRODUCT ID]],MasterData[],5,)</f>
        <v>5</v>
      </c>
      <c r="K183" s="7">
        <f>VLOOKUP(InputData[[#This Row],[PRODUCT ID]],MasterData[],6,)</f>
        <v>6.7</v>
      </c>
      <c r="L183" s="7">
        <f>InputData[[#This Row],[BUYING PRIZE]]*InputData[[#This Row],[QUANTITY]]</f>
        <v>55</v>
      </c>
      <c r="M183" s="7">
        <f>InputData[[#This Row],[SELLING PRICE]]*InputData[[#This Row],[QUANTITY]]*(1-InputData[[#This Row],[DISCOUNT %]])</f>
        <v>73.7</v>
      </c>
      <c r="N183">
        <f>DAY(InputData[[#This Row],[DATE]])</f>
        <v>31</v>
      </c>
      <c r="O183" t="str">
        <f>TEXT(InputData[[#This Row],[DATE]],"mmm")</f>
        <v>Aug</v>
      </c>
      <c r="P183">
        <f>YEAR(InputData[[#This Row],[DATE]])</f>
        <v>2021</v>
      </c>
    </row>
    <row r="184" spans="1:16" x14ac:dyDescent="0.3">
      <c r="A184" s="3">
        <v>44440</v>
      </c>
      <c r="B184" s="4" t="s">
        <v>56</v>
      </c>
      <c r="C184" s="5">
        <v>1</v>
      </c>
      <c r="D184" s="5" t="s">
        <v>105</v>
      </c>
      <c r="E184" s="5" t="s">
        <v>107</v>
      </c>
      <c r="F184" s="6">
        <v>0</v>
      </c>
      <c r="G184" t="str">
        <f>VLOOKUP(InputData[[#This Row],[PRODUCT ID]],MasterData[],2,)</f>
        <v>Product24</v>
      </c>
      <c r="H184" t="str">
        <f>VLOOKUP(InputData[[#This Row],[PRODUCT ID]],MasterData[],3,)</f>
        <v>Category03</v>
      </c>
      <c r="I184" t="str">
        <f>VLOOKUP(InputData[[#This Row],[PRODUCT ID]],MasterData[],4,)</f>
        <v>Ft</v>
      </c>
      <c r="J184" s="7">
        <f>VLOOKUP(InputData[[#This Row],[PRODUCT ID]],MasterData[],5,)</f>
        <v>144</v>
      </c>
      <c r="K184" s="7">
        <f>VLOOKUP(InputData[[#This Row],[PRODUCT ID]],MasterData[],6,)</f>
        <v>156.96</v>
      </c>
      <c r="L184" s="7">
        <f>InputData[[#This Row],[BUYING PRIZE]]*InputData[[#This Row],[QUANTITY]]</f>
        <v>144</v>
      </c>
      <c r="M184" s="7">
        <f>InputData[[#This Row],[SELLING PRICE]]*InputData[[#This Row],[QUANTITY]]*(1-InputData[[#This Row],[DISCOUNT %]])</f>
        <v>156.96</v>
      </c>
      <c r="N184">
        <f>DAY(InputData[[#This Row],[DATE]])</f>
        <v>1</v>
      </c>
      <c r="O184" t="str">
        <f>TEXT(InputData[[#This Row],[DATE]],"mmm")</f>
        <v>Sep</v>
      </c>
      <c r="P184">
        <f>YEAR(InputData[[#This Row],[DATE]])</f>
        <v>2021</v>
      </c>
    </row>
    <row r="185" spans="1:16" x14ac:dyDescent="0.3">
      <c r="A185" s="3">
        <v>44440</v>
      </c>
      <c r="B185" s="4" t="s">
        <v>12</v>
      </c>
      <c r="C185" s="5">
        <v>14</v>
      </c>
      <c r="D185" s="5" t="s">
        <v>106</v>
      </c>
      <c r="E185" s="5" t="s">
        <v>106</v>
      </c>
      <c r="F185" s="6">
        <v>0</v>
      </c>
      <c r="G185" t="str">
        <f>VLOOKUP(InputData[[#This Row],[PRODUCT ID]],MasterData[],2,)</f>
        <v>Product03</v>
      </c>
      <c r="H185" t="str">
        <f>VLOOKUP(InputData[[#This Row],[PRODUCT ID]],MasterData[],3,)</f>
        <v>Category01</v>
      </c>
      <c r="I185" t="str">
        <f>VLOOKUP(InputData[[#This Row],[PRODUCT ID]],MasterData[],4,)</f>
        <v>Kg</v>
      </c>
      <c r="J185" s="7">
        <f>VLOOKUP(InputData[[#This Row],[PRODUCT ID]],MasterData[],5,)</f>
        <v>71</v>
      </c>
      <c r="K185" s="7">
        <f>VLOOKUP(InputData[[#This Row],[PRODUCT ID]],MasterData[],6,)</f>
        <v>80.94</v>
      </c>
      <c r="L185" s="7">
        <f>InputData[[#This Row],[BUYING PRIZE]]*InputData[[#This Row],[QUANTITY]]</f>
        <v>994</v>
      </c>
      <c r="M185" s="7">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3">
      <c r="A186" s="3">
        <v>44442</v>
      </c>
      <c r="B186" s="4" t="s">
        <v>92</v>
      </c>
      <c r="C186" s="5">
        <v>8</v>
      </c>
      <c r="D186" s="5" t="s">
        <v>108</v>
      </c>
      <c r="E186" s="5" t="s">
        <v>106</v>
      </c>
      <c r="F186" s="6">
        <v>0</v>
      </c>
      <c r="G186" t="str">
        <f>VLOOKUP(InputData[[#This Row],[PRODUCT ID]],MasterData[],2,)</f>
        <v>Product41</v>
      </c>
      <c r="H186" t="str">
        <f>VLOOKUP(InputData[[#This Row],[PRODUCT ID]],MasterData[],3,)</f>
        <v>Category05</v>
      </c>
      <c r="I186" t="str">
        <f>VLOOKUP(InputData[[#This Row],[PRODUCT ID]],MasterData[],4,)</f>
        <v>Ft</v>
      </c>
      <c r="J186" s="7">
        <f>VLOOKUP(InputData[[#This Row],[PRODUCT ID]],MasterData[],5,)</f>
        <v>138</v>
      </c>
      <c r="K186" s="7">
        <f>VLOOKUP(InputData[[#This Row],[PRODUCT ID]],MasterData[],6,)</f>
        <v>173.88</v>
      </c>
      <c r="L186" s="7">
        <f>InputData[[#This Row],[BUYING PRIZE]]*InputData[[#This Row],[QUANTITY]]</f>
        <v>1104</v>
      </c>
      <c r="M186" s="7">
        <f>InputData[[#This Row],[SELLING PRICE]]*InputData[[#This Row],[QUANTITY]]*(1-InputData[[#This Row],[DISCOUNT %]])</f>
        <v>1391.04</v>
      </c>
      <c r="N186">
        <f>DAY(InputData[[#This Row],[DATE]])</f>
        <v>3</v>
      </c>
      <c r="O186" t="str">
        <f>TEXT(InputData[[#This Row],[DATE]],"mmm")</f>
        <v>Sep</v>
      </c>
      <c r="P186">
        <f>YEAR(InputData[[#This Row],[DATE]])</f>
        <v>2021</v>
      </c>
    </row>
    <row r="187" spans="1:16" x14ac:dyDescent="0.3">
      <c r="A187" s="3">
        <v>44443</v>
      </c>
      <c r="B187" s="4" t="s">
        <v>65</v>
      </c>
      <c r="C187" s="5">
        <v>7</v>
      </c>
      <c r="D187" s="5" t="s">
        <v>108</v>
      </c>
      <c r="E187" s="5" t="s">
        <v>106</v>
      </c>
      <c r="F187" s="6">
        <v>0</v>
      </c>
      <c r="G187" t="str">
        <f>VLOOKUP(InputData[[#This Row],[PRODUCT ID]],MasterData[],2,)</f>
        <v>Product28</v>
      </c>
      <c r="H187" t="str">
        <f>VLOOKUP(InputData[[#This Row],[PRODUCT ID]],MasterData[],3,)</f>
        <v>Category04</v>
      </c>
      <c r="I187" t="str">
        <f>VLOOKUP(InputData[[#This Row],[PRODUCT ID]],MasterData[],4,)</f>
        <v>No.</v>
      </c>
      <c r="J187" s="7">
        <f>VLOOKUP(InputData[[#This Row],[PRODUCT ID]],MasterData[],5,)</f>
        <v>37</v>
      </c>
      <c r="K187" s="7">
        <f>VLOOKUP(InputData[[#This Row],[PRODUCT ID]],MasterData[],6,)</f>
        <v>41.81</v>
      </c>
      <c r="L187" s="7">
        <f>InputData[[#This Row],[BUYING PRIZE]]*InputData[[#This Row],[QUANTITY]]</f>
        <v>259</v>
      </c>
      <c r="M187" s="7">
        <f>InputData[[#This Row],[SELLING PRICE]]*InputData[[#This Row],[QUANTITY]]*(1-InputData[[#This Row],[DISCOUNT %]])</f>
        <v>292.67</v>
      </c>
      <c r="N187">
        <f>DAY(InputData[[#This Row],[DATE]])</f>
        <v>4</v>
      </c>
      <c r="O187" t="str">
        <f>TEXT(InputData[[#This Row],[DATE]],"mmm")</f>
        <v>Sep</v>
      </c>
      <c r="P187">
        <f>YEAR(InputData[[#This Row],[DATE]])</f>
        <v>2021</v>
      </c>
    </row>
    <row r="188" spans="1:16" x14ac:dyDescent="0.3">
      <c r="A188" s="3">
        <v>44443</v>
      </c>
      <c r="B188" s="4" t="s">
        <v>54</v>
      </c>
      <c r="C188" s="5">
        <v>15</v>
      </c>
      <c r="D188" s="5" t="s">
        <v>108</v>
      </c>
      <c r="E188" s="5" t="s">
        <v>106</v>
      </c>
      <c r="F188" s="6">
        <v>0</v>
      </c>
      <c r="G188" t="str">
        <f>VLOOKUP(InputData[[#This Row],[PRODUCT ID]],MasterData[],2,)</f>
        <v>Product23</v>
      </c>
      <c r="H188" t="str">
        <f>VLOOKUP(InputData[[#This Row],[PRODUCT ID]],MasterData[],3,)</f>
        <v>Category03</v>
      </c>
      <c r="I188" t="str">
        <f>VLOOKUP(InputData[[#This Row],[PRODUCT ID]],MasterData[],4,)</f>
        <v>Ft</v>
      </c>
      <c r="J188" s="7">
        <f>VLOOKUP(InputData[[#This Row],[PRODUCT ID]],MasterData[],5,)</f>
        <v>141</v>
      </c>
      <c r="K188" s="7">
        <f>VLOOKUP(InputData[[#This Row],[PRODUCT ID]],MasterData[],6,)</f>
        <v>149.46</v>
      </c>
      <c r="L188" s="7">
        <f>InputData[[#This Row],[BUYING PRIZE]]*InputData[[#This Row],[QUANTITY]]</f>
        <v>2115</v>
      </c>
      <c r="M188" s="7">
        <f>InputData[[#This Row],[SELLING PRICE]]*InputData[[#This Row],[QUANTITY]]*(1-InputData[[#This Row],[DISCOUNT %]])</f>
        <v>2241.9</v>
      </c>
      <c r="N188">
        <f>DAY(InputData[[#This Row],[DATE]])</f>
        <v>4</v>
      </c>
      <c r="O188" t="str">
        <f>TEXT(InputData[[#This Row],[DATE]],"mmm")</f>
        <v>Sep</v>
      </c>
      <c r="P188">
        <f>YEAR(InputData[[#This Row],[DATE]])</f>
        <v>2021</v>
      </c>
    </row>
    <row r="189" spans="1:16" x14ac:dyDescent="0.3">
      <c r="A189" s="3">
        <v>44444</v>
      </c>
      <c r="B189" s="4" t="s">
        <v>73</v>
      </c>
      <c r="C189" s="5">
        <v>1</v>
      </c>
      <c r="D189" s="5" t="s">
        <v>108</v>
      </c>
      <c r="E189" s="5" t="s">
        <v>107</v>
      </c>
      <c r="F189" s="6">
        <v>0</v>
      </c>
      <c r="G189" t="str">
        <f>VLOOKUP(InputData[[#This Row],[PRODUCT ID]],MasterData[],2,)</f>
        <v>Product32</v>
      </c>
      <c r="H189" t="str">
        <f>VLOOKUP(InputData[[#This Row],[PRODUCT ID]],MasterData[],3,)</f>
        <v>Category04</v>
      </c>
      <c r="I189" t="str">
        <f>VLOOKUP(InputData[[#This Row],[PRODUCT ID]],MasterData[],4,)</f>
        <v>Kg</v>
      </c>
      <c r="J189" s="7">
        <f>VLOOKUP(InputData[[#This Row],[PRODUCT ID]],MasterData[],5,)</f>
        <v>89</v>
      </c>
      <c r="K189" s="7">
        <f>VLOOKUP(InputData[[#This Row],[PRODUCT ID]],MasterData[],6,)</f>
        <v>117.48</v>
      </c>
      <c r="L189" s="7">
        <f>InputData[[#This Row],[BUYING PRIZE]]*InputData[[#This Row],[QUANTITY]]</f>
        <v>89</v>
      </c>
      <c r="M189" s="7">
        <f>InputData[[#This Row],[SELLING PRICE]]*InputData[[#This Row],[QUANTITY]]*(1-InputData[[#This Row],[DISCOUNT %]])</f>
        <v>117.48</v>
      </c>
      <c r="N189">
        <f>DAY(InputData[[#This Row],[DATE]])</f>
        <v>5</v>
      </c>
      <c r="O189" t="str">
        <f>TEXT(InputData[[#This Row],[DATE]],"mmm")</f>
        <v>Sep</v>
      </c>
      <c r="P189">
        <f>YEAR(InputData[[#This Row],[DATE]])</f>
        <v>2021</v>
      </c>
    </row>
    <row r="190" spans="1:16" x14ac:dyDescent="0.3">
      <c r="A190" s="3">
        <v>44446</v>
      </c>
      <c r="B190" s="4" t="s">
        <v>45</v>
      </c>
      <c r="C190" s="5">
        <v>5</v>
      </c>
      <c r="D190" s="5" t="s">
        <v>108</v>
      </c>
      <c r="E190" s="5" t="s">
        <v>106</v>
      </c>
      <c r="F190" s="6">
        <v>0</v>
      </c>
      <c r="G190" t="str">
        <f>VLOOKUP(InputData[[#This Row],[PRODUCT ID]],MasterData[],2,)</f>
        <v>Product19</v>
      </c>
      <c r="H190" t="str">
        <f>VLOOKUP(InputData[[#This Row],[PRODUCT ID]],MasterData[],3,)</f>
        <v>Category02</v>
      </c>
      <c r="I190" t="str">
        <f>VLOOKUP(InputData[[#This Row],[PRODUCT ID]],MasterData[],4,)</f>
        <v>Ft</v>
      </c>
      <c r="J190" s="7">
        <f>VLOOKUP(InputData[[#This Row],[PRODUCT ID]],MasterData[],5,)</f>
        <v>150</v>
      </c>
      <c r="K190" s="7">
        <f>VLOOKUP(InputData[[#This Row],[PRODUCT ID]],MasterData[],6,)</f>
        <v>210</v>
      </c>
      <c r="L190" s="7">
        <f>InputData[[#This Row],[BUYING PRIZE]]*InputData[[#This Row],[QUANTITY]]</f>
        <v>750</v>
      </c>
      <c r="M190" s="7">
        <f>InputData[[#This Row],[SELLING PRICE]]*InputData[[#This Row],[QUANTITY]]*(1-InputData[[#This Row],[DISCOUNT %]])</f>
        <v>1050</v>
      </c>
      <c r="N190">
        <f>DAY(InputData[[#This Row],[DATE]])</f>
        <v>7</v>
      </c>
      <c r="O190" t="str">
        <f>TEXT(InputData[[#This Row],[DATE]],"mmm")</f>
        <v>Sep</v>
      </c>
      <c r="P190">
        <f>YEAR(InputData[[#This Row],[DATE]])</f>
        <v>2021</v>
      </c>
    </row>
    <row r="191" spans="1:16" x14ac:dyDescent="0.3">
      <c r="A191" s="3">
        <v>44448</v>
      </c>
      <c r="B191" s="4" t="s">
        <v>98</v>
      </c>
      <c r="C191" s="5">
        <v>4</v>
      </c>
      <c r="D191" s="5" t="s">
        <v>108</v>
      </c>
      <c r="E191" s="5" t="s">
        <v>106</v>
      </c>
      <c r="F191" s="6">
        <v>0</v>
      </c>
      <c r="G191" t="str">
        <f>VLOOKUP(InputData[[#This Row],[PRODUCT ID]],MasterData[],2,)</f>
        <v>Product44</v>
      </c>
      <c r="H191" t="str">
        <f>VLOOKUP(InputData[[#This Row],[PRODUCT ID]],MasterData[],3,)</f>
        <v>Category05</v>
      </c>
      <c r="I191" t="str">
        <f>VLOOKUP(InputData[[#This Row],[PRODUCT ID]],MasterData[],4,)</f>
        <v>Kg</v>
      </c>
      <c r="J191" s="7">
        <f>VLOOKUP(InputData[[#This Row],[PRODUCT ID]],MasterData[],5,)</f>
        <v>76</v>
      </c>
      <c r="K191" s="7">
        <f>VLOOKUP(InputData[[#This Row],[PRODUCT ID]],MasterData[],6,)</f>
        <v>82.08</v>
      </c>
      <c r="L191" s="7">
        <f>InputData[[#This Row],[BUYING PRIZE]]*InputData[[#This Row],[QUANTITY]]</f>
        <v>304</v>
      </c>
      <c r="M191" s="7">
        <f>InputData[[#This Row],[SELLING PRICE]]*InputData[[#This Row],[QUANTITY]]*(1-InputData[[#This Row],[DISCOUNT %]])</f>
        <v>328.32</v>
      </c>
      <c r="N191">
        <f>DAY(InputData[[#This Row],[DATE]])</f>
        <v>9</v>
      </c>
      <c r="O191" t="str">
        <f>TEXT(InputData[[#This Row],[DATE]],"mmm")</f>
        <v>Sep</v>
      </c>
      <c r="P191">
        <f>YEAR(InputData[[#This Row],[DATE]])</f>
        <v>2021</v>
      </c>
    </row>
    <row r="192" spans="1:16" x14ac:dyDescent="0.3">
      <c r="A192" s="3">
        <v>44449</v>
      </c>
      <c r="B192" s="4" t="s">
        <v>69</v>
      </c>
      <c r="C192" s="5">
        <v>6</v>
      </c>
      <c r="D192" s="5" t="s">
        <v>108</v>
      </c>
      <c r="E192" s="5" t="s">
        <v>106</v>
      </c>
      <c r="F192" s="6">
        <v>0</v>
      </c>
      <c r="G192" t="str">
        <f>VLOOKUP(InputData[[#This Row],[PRODUCT ID]],MasterData[],2,)</f>
        <v>Product30</v>
      </c>
      <c r="H192" t="str">
        <f>VLOOKUP(InputData[[#This Row],[PRODUCT ID]],MasterData[],3,)</f>
        <v>Category04</v>
      </c>
      <c r="I192" t="str">
        <f>VLOOKUP(InputData[[#This Row],[PRODUCT ID]],MasterData[],4,)</f>
        <v>Ft</v>
      </c>
      <c r="J192" s="7">
        <f>VLOOKUP(InputData[[#This Row],[PRODUCT ID]],MasterData[],5,)</f>
        <v>148</v>
      </c>
      <c r="K192" s="7">
        <f>VLOOKUP(InputData[[#This Row],[PRODUCT ID]],MasterData[],6,)</f>
        <v>201.28</v>
      </c>
      <c r="L192" s="7">
        <f>InputData[[#This Row],[BUYING PRIZE]]*InputData[[#This Row],[QUANTITY]]</f>
        <v>888</v>
      </c>
      <c r="M192" s="7">
        <f>InputData[[#This Row],[SELLING PRICE]]*InputData[[#This Row],[QUANTITY]]*(1-InputData[[#This Row],[DISCOUNT %]])</f>
        <v>1207.68</v>
      </c>
      <c r="N192">
        <f>DAY(InputData[[#This Row],[DATE]])</f>
        <v>10</v>
      </c>
      <c r="O192" t="str">
        <f>TEXT(InputData[[#This Row],[DATE]],"mmm")</f>
        <v>Sep</v>
      </c>
      <c r="P192">
        <f>YEAR(InputData[[#This Row],[DATE]])</f>
        <v>2021</v>
      </c>
    </row>
    <row r="193" spans="1:16" x14ac:dyDescent="0.3">
      <c r="A193" s="3">
        <v>44449</v>
      </c>
      <c r="B193" s="4" t="s">
        <v>6</v>
      </c>
      <c r="C193" s="5">
        <v>9</v>
      </c>
      <c r="D193" s="5" t="s">
        <v>105</v>
      </c>
      <c r="E193" s="5" t="s">
        <v>106</v>
      </c>
      <c r="F193" s="6">
        <v>0</v>
      </c>
      <c r="G193" t="str">
        <f>VLOOKUP(InputData[[#This Row],[PRODUCT ID]],MasterData[],2,)</f>
        <v>Product01</v>
      </c>
      <c r="H193" t="str">
        <f>VLOOKUP(InputData[[#This Row],[PRODUCT ID]],MasterData[],3,)</f>
        <v>Category01</v>
      </c>
      <c r="I193" t="str">
        <f>VLOOKUP(InputData[[#This Row],[PRODUCT ID]],MasterData[],4,)</f>
        <v>Kg</v>
      </c>
      <c r="J193" s="7">
        <f>VLOOKUP(InputData[[#This Row],[PRODUCT ID]],MasterData[],5,)</f>
        <v>98</v>
      </c>
      <c r="K193" s="7">
        <f>VLOOKUP(InputData[[#This Row],[PRODUCT ID]],MasterData[],6,)</f>
        <v>103.88</v>
      </c>
      <c r="L193" s="7">
        <f>InputData[[#This Row],[BUYING PRIZE]]*InputData[[#This Row],[QUANTITY]]</f>
        <v>882</v>
      </c>
      <c r="M193" s="7">
        <f>InputData[[#This Row],[SELLING PRICE]]*InputData[[#This Row],[QUANTITY]]*(1-InputData[[#This Row],[DISCOUNT %]])</f>
        <v>934.92</v>
      </c>
      <c r="N193">
        <f>DAY(InputData[[#This Row],[DATE]])</f>
        <v>10</v>
      </c>
      <c r="O193" t="str">
        <f>TEXT(InputData[[#This Row],[DATE]],"mmm")</f>
        <v>Sep</v>
      </c>
      <c r="P193">
        <f>YEAR(InputData[[#This Row],[DATE]])</f>
        <v>2021</v>
      </c>
    </row>
    <row r="194" spans="1:16" x14ac:dyDescent="0.3">
      <c r="A194" s="3">
        <v>44449</v>
      </c>
      <c r="B194" s="4" t="s">
        <v>60</v>
      </c>
      <c r="C194" s="5">
        <v>2</v>
      </c>
      <c r="D194" s="5" t="s">
        <v>108</v>
      </c>
      <c r="E194" s="5" t="s">
        <v>106</v>
      </c>
      <c r="F194" s="6">
        <v>0</v>
      </c>
      <c r="G194" t="str">
        <f>VLOOKUP(InputData[[#This Row],[PRODUCT ID]],MasterData[],2,)</f>
        <v>Product26</v>
      </c>
      <c r="H194" t="str">
        <f>VLOOKUP(InputData[[#This Row],[PRODUCT ID]],MasterData[],3,)</f>
        <v>Category04</v>
      </c>
      <c r="I194" t="str">
        <f>VLOOKUP(InputData[[#This Row],[PRODUCT ID]],MasterData[],4,)</f>
        <v>No.</v>
      </c>
      <c r="J194" s="7">
        <f>VLOOKUP(InputData[[#This Row],[PRODUCT ID]],MasterData[],5,)</f>
        <v>18</v>
      </c>
      <c r="K194" s="7">
        <f>VLOOKUP(InputData[[#This Row],[PRODUCT ID]],MasterData[],6,)</f>
        <v>24.66</v>
      </c>
      <c r="L194" s="7">
        <f>InputData[[#This Row],[BUYING PRIZE]]*InputData[[#This Row],[QUANTITY]]</f>
        <v>36</v>
      </c>
      <c r="M194" s="7">
        <f>InputData[[#This Row],[SELLING PRICE]]*InputData[[#This Row],[QUANTITY]]*(1-InputData[[#This Row],[DISCOUNT %]])</f>
        <v>49.32</v>
      </c>
      <c r="N194">
        <f>DAY(InputData[[#This Row],[DATE]])</f>
        <v>10</v>
      </c>
      <c r="O194" t="str">
        <f>TEXT(InputData[[#This Row],[DATE]],"mmm")</f>
        <v>Sep</v>
      </c>
      <c r="P194">
        <f>YEAR(InputData[[#This Row],[DATE]])</f>
        <v>2021</v>
      </c>
    </row>
    <row r="195" spans="1:16" x14ac:dyDescent="0.3">
      <c r="A195" s="3">
        <v>44450</v>
      </c>
      <c r="B195" s="4" t="s">
        <v>6</v>
      </c>
      <c r="C195" s="5">
        <v>6</v>
      </c>
      <c r="D195" s="5" t="s">
        <v>105</v>
      </c>
      <c r="E195" s="5" t="s">
        <v>106</v>
      </c>
      <c r="F195" s="6">
        <v>0</v>
      </c>
      <c r="G195" t="str">
        <f>VLOOKUP(InputData[[#This Row],[PRODUCT ID]],MasterData[],2,)</f>
        <v>Product01</v>
      </c>
      <c r="H195" t="str">
        <f>VLOOKUP(InputData[[#This Row],[PRODUCT ID]],MasterData[],3,)</f>
        <v>Category01</v>
      </c>
      <c r="I195" t="str">
        <f>VLOOKUP(InputData[[#This Row],[PRODUCT ID]],MasterData[],4,)</f>
        <v>Kg</v>
      </c>
      <c r="J195" s="7">
        <f>VLOOKUP(InputData[[#This Row],[PRODUCT ID]],MasterData[],5,)</f>
        <v>98</v>
      </c>
      <c r="K195" s="7">
        <f>VLOOKUP(InputData[[#This Row],[PRODUCT ID]],MasterData[],6,)</f>
        <v>103.88</v>
      </c>
      <c r="L195" s="7">
        <f>InputData[[#This Row],[BUYING PRIZE]]*InputData[[#This Row],[QUANTITY]]</f>
        <v>588</v>
      </c>
      <c r="M195" s="7">
        <f>InputData[[#This Row],[SELLING PRICE]]*InputData[[#This Row],[QUANTITY]]*(1-InputData[[#This Row],[DISCOUNT %]])</f>
        <v>623.28</v>
      </c>
      <c r="N195">
        <f>DAY(InputData[[#This Row],[DATE]])</f>
        <v>11</v>
      </c>
      <c r="O195" t="str">
        <f>TEXT(InputData[[#This Row],[DATE]],"mmm")</f>
        <v>Sep</v>
      </c>
      <c r="P195">
        <f>YEAR(InputData[[#This Row],[DATE]])</f>
        <v>2021</v>
      </c>
    </row>
    <row r="196" spans="1:16" x14ac:dyDescent="0.3">
      <c r="A196" s="3">
        <v>44452</v>
      </c>
      <c r="B196" s="4" t="s">
        <v>92</v>
      </c>
      <c r="C196" s="5">
        <v>7</v>
      </c>
      <c r="D196" s="5" t="s">
        <v>108</v>
      </c>
      <c r="E196" s="5" t="s">
        <v>107</v>
      </c>
      <c r="F196" s="6">
        <v>0</v>
      </c>
      <c r="G196" t="str">
        <f>VLOOKUP(InputData[[#This Row],[PRODUCT ID]],MasterData[],2,)</f>
        <v>Product41</v>
      </c>
      <c r="H196" t="str">
        <f>VLOOKUP(InputData[[#This Row],[PRODUCT ID]],MasterData[],3,)</f>
        <v>Category05</v>
      </c>
      <c r="I196" t="str">
        <f>VLOOKUP(InputData[[#This Row],[PRODUCT ID]],MasterData[],4,)</f>
        <v>Ft</v>
      </c>
      <c r="J196" s="7">
        <f>VLOOKUP(InputData[[#This Row],[PRODUCT ID]],MasterData[],5,)</f>
        <v>138</v>
      </c>
      <c r="K196" s="7">
        <f>VLOOKUP(InputData[[#This Row],[PRODUCT ID]],MasterData[],6,)</f>
        <v>173.88</v>
      </c>
      <c r="L196" s="7">
        <f>InputData[[#This Row],[BUYING PRIZE]]*InputData[[#This Row],[QUANTITY]]</f>
        <v>966</v>
      </c>
      <c r="M196" s="7">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3">
      <c r="A197" s="3">
        <v>44454</v>
      </c>
      <c r="B197" s="4" t="s">
        <v>94</v>
      </c>
      <c r="C197" s="5">
        <v>6</v>
      </c>
      <c r="D197" s="5" t="s">
        <v>108</v>
      </c>
      <c r="E197" s="5" t="s">
        <v>106</v>
      </c>
      <c r="F197" s="6">
        <v>0</v>
      </c>
      <c r="G197" t="str">
        <f>VLOOKUP(InputData[[#This Row],[PRODUCT ID]],MasterData[],2,)</f>
        <v>Product42</v>
      </c>
      <c r="H197" t="str">
        <f>VLOOKUP(InputData[[#This Row],[PRODUCT ID]],MasterData[],3,)</f>
        <v>Category05</v>
      </c>
      <c r="I197" t="str">
        <f>VLOOKUP(InputData[[#This Row],[PRODUCT ID]],MasterData[],4,)</f>
        <v>Ft</v>
      </c>
      <c r="J197" s="7">
        <f>VLOOKUP(InputData[[#This Row],[PRODUCT ID]],MasterData[],5,)</f>
        <v>120</v>
      </c>
      <c r="K197" s="7">
        <f>VLOOKUP(InputData[[#This Row],[PRODUCT ID]],MasterData[],6,)</f>
        <v>162</v>
      </c>
      <c r="L197" s="7">
        <f>InputData[[#This Row],[BUYING PRIZE]]*InputData[[#This Row],[QUANTITY]]</f>
        <v>720</v>
      </c>
      <c r="M197" s="7">
        <f>InputData[[#This Row],[SELLING PRICE]]*InputData[[#This Row],[QUANTITY]]*(1-InputData[[#This Row],[DISCOUNT %]])</f>
        <v>972</v>
      </c>
      <c r="N197">
        <f>DAY(InputData[[#This Row],[DATE]])</f>
        <v>15</v>
      </c>
      <c r="O197" t="str">
        <f>TEXT(InputData[[#This Row],[DATE]],"mmm")</f>
        <v>Sep</v>
      </c>
      <c r="P197">
        <f>YEAR(InputData[[#This Row],[DATE]])</f>
        <v>2021</v>
      </c>
    </row>
    <row r="198" spans="1:16" x14ac:dyDescent="0.3">
      <c r="A198" s="3">
        <v>44454</v>
      </c>
      <c r="B198" s="4" t="s">
        <v>94</v>
      </c>
      <c r="C198" s="5">
        <v>14</v>
      </c>
      <c r="D198" s="5" t="s">
        <v>108</v>
      </c>
      <c r="E198" s="5" t="s">
        <v>106</v>
      </c>
      <c r="F198" s="6">
        <v>0</v>
      </c>
      <c r="G198" t="str">
        <f>VLOOKUP(InputData[[#This Row],[PRODUCT ID]],MasterData[],2,)</f>
        <v>Product42</v>
      </c>
      <c r="H198" t="str">
        <f>VLOOKUP(InputData[[#This Row],[PRODUCT ID]],MasterData[],3,)</f>
        <v>Category05</v>
      </c>
      <c r="I198" t="str">
        <f>VLOOKUP(InputData[[#This Row],[PRODUCT ID]],MasterData[],4,)</f>
        <v>Ft</v>
      </c>
      <c r="J198" s="7">
        <f>VLOOKUP(InputData[[#This Row],[PRODUCT ID]],MasterData[],5,)</f>
        <v>120</v>
      </c>
      <c r="K198" s="7">
        <f>VLOOKUP(InputData[[#This Row],[PRODUCT ID]],MasterData[],6,)</f>
        <v>162</v>
      </c>
      <c r="L198" s="7">
        <f>InputData[[#This Row],[BUYING PRIZE]]*InputData[[#This Row],[QUANTITY]]</f>
        <v>1680</v>
      </c>
      <c r="M198" s="7">
        <f>InputData[[#This Row],[SELLING PRICE]]*InputData[[#This Row],[QUANTITY]]*(1-InputData[[#This Row],[DISCOUNT %]])</f>
        <v>2268</v>
      </c>
      <c r="N198">
        <f>DAY(InputData[[#This Row],[DATE]])</f>
        <v>15</v>
      </c>
      <c r="O198" t="str">
        <f>TEXT(InputData[[#This Row],[DATE]],"mmm")</f>
        <v>Sep</v>
      </c>
      <c r="P198">
        <f>YEAR(InputData[[#This Row],[DATE]])</f>
        <v>2021</v>
      </c>
    </row>
    <row r="199" spans="1:16" x14ac:dyDescent="0.3">
      <c r="A199" s="3">
        <v>44460</v>
      </c>
      <c r="B199" s="4" t="s">
        <v>47</v>
      </c>
      <c r="C199" s="5">
        <v>7</v>
      </c>
      <c r="D199" s="5" t="s">
        <v>105</v>
      </c>
      <c r="E199" s="5" t="s">
        <v>107</v>
      </c>
      <c r="F199" s="6">
        <v>0</v>
      </c>
      <c r="G199" t="str">
        <f>VLOOKUP(InputData[[#This Row],[PRODUCT ID]],MasterData[],2,)</f>
        <v>Product20</v>
      </c>
      <c r="H199" t="str">
        <f>VLOOKUP(InputData[[#This Row],[PRODUCT ID]],MasterData[],3,)</f>
        <v>Category03</v>
      </c>
      <c r="I199" t="str">
        <f>VLOOKUP(InputData[[#This Row],[PRODUCT ID]],MasterData[],4,)</f>
        <v>Lt</v>
      </c>
      <c r="J199" s="7">
        <f>VLOOKUP(InputData[[#This Row],[PRODUCT ID]],MasterData[],5,)</f>
        <v>61</v>
      </c>
      <c r="K199" s="7">
        <f>VLOOKUP(InputData[[#This Row],[PRODUCT ID]],MasterData[],6,)</f>
        <v>76.25</v>
      </c>
      <c r="L199" s="7">
        <f>InputData[[#This Row],[BUYING PRIZE]]*InputData[[#This Row],[QUANTITY]]</f>
        <v>427</v>
      </c>
      <c r="M199" s="7">
        <f>InputData[[#This Row],[SELLING PRICE]]*InputData[[#This Row],[QUANTITY]]*(1-InputData[[#This Row],[DISCOUNT %]])</f>
        <v>533.75</v>
      </c>
      <c r="N199">
        <f>DAY(InputData[[#This Row],[DATE]])</f>
        <v>21</v>
      </c>
      <c r="O199" t="str">
        <f>TEXT(InputData[[#This Row],[DATE]],"mmm")</f>
        <v>Sep</v>
      </c>
      <c r="P199">
        <f>YEAR(InputData[[#This Row],[DATE]])</f>
        <v>2021</v>
      </c>
    </row>
    <row r="200" spans="1:16" x14ac:dyDescent="0.3">
      <c r="A200" s="3">
        <v>44461</v>
      </c>
      <c r="B200" s="4" t="s">
        <v>90</v>
      </c>
      <c r="C200" s="5">
        <v>2</v>
      </c>
      <c r="D200" s="5" t="s">
        <v>106</v>
      </c>
      <c r="E200" s="5" t="s">
        <v>107</v>
      </c>
      <c r="F200" s="6">
        <v>0</v>
      </c>
      <c r="G200" t="str">
        <f>VLOOKUP(InputData[[#This Row],[PRODUCT ID]],MasterData[],2,)</f>
        <v>Product40</v>
      </c>
      <c r="H200" t="str">
        <f>VLOOKUP(InputData[[#This Row],[PRODUCT ID]],MasterData[],3,)</f>
        <v>Category05</v>
      </c>
      <c r="I200" t="str">
        <f>VLOOKUP(InputData[[#This Row],[PRODUCT ID]],MasterData[],4,)</f>
        <v>Kg</v>
      </c>
      <c r="J200" s="7">
        <f>VLOOKUP(InputData[[#This Row],[PRODUCT ID]],MasterData[],5,)</f>
        <v>90</v>
      </c>
      <c r="K200" s="7">
        <f>VLOOKUP(InputData[[#This Row],[PRODUCT ID]],MasterData[],6,)</f>
        <v>115.2</v>
      </c>
      <c r="L200" s="7">
        <f>InputData[[#This Row],[BUYING PRIZE]]*InputData[[#This Row],[QUANTITY]]</f>
        <v>180</v>
      </c>
      <c r="M200" s="7">
        <f>InputData[[#This Row],[SELLING PRICE]]*InputData[[#This Row],[QUANTITY]]*(1-InputData[[#This Row],[DISCOUNT %]])</f>
        <v>230.4</v>
      </c>
      <c r="N200">
        <f>DAY(InputData[[#This Row],[DATE]])</f>
        <v>22</v>
      </c>
      <c r="O200" t="str">
        <f>TEXT(InputData[[#This Row],[DATE]],"mmm")</f>
        <v>Sep</v>
      </c>
      <c r="P200">
        <f>YEAR(InputData[[#This Row],[DATE]])</f>
        <v>2021</v>
      </c>
    </row>
    <row r="201" spans="1:16" x14ac:dyDescent="0.3">
      <c r="A201" s="3">
        <v>44461</v>
      </c>
      <c r="B201" s="4" t="s">
        <v>10</v>
      </c>
      <c r="C201" s="5">
        <v>4</v>
      </c>
      <c r="D201" s="5" t="s">
        <v>108</v>
      </c>
      <c r="E201" s="5" t="s">
        <v>107</v>
      </c>
      <c r="F201" s="6">
        <v>0</v>
      </c>
      <c r="G201" t="str">
        <f>VLOOKUP(InputData[[#This Row],[PRODUCT ID]],MasterData[],2,)</f>
        <v>Product02</v>
      </c>
      <c r="H201" t="str">
        <f>VLOOKUP(InputData[[#This Row],[PRODUCT ID]],MasterData[],3,)</f>
        <v>Category01</v>
      </c>
      <c r="I201" t="str">
        <f>VLOOKUP(InputData[[#This Row],[PRODUCT ID]],MasterData[],4,)</f>
        <v>Kg</v>
      </c>
      <c r="J201" s="7">
        <f>VLOOKUP(InputData[[#This Row],[PRODUCT ID]],MasterData[],5,)</f>
        <v>105</v>
      </c>
      <c r="K201" s="7">
        <f>VLOOKUP(InputData[[#This Row],[PRODUCT ID]],MasterData[],6,)</f>
        <v>142.80000000000001</v>
      </c>
      <c r="L201" s="7">
        <f>InputData[[#This Row],[BUYING PRIZE]]*InputData[[#This Row],[QUANTITY]]</f>
        <v>420</v>
      </c>
      <c r="M201" s="7">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3">
      <c r="A202" s="3">
        <v>44462</v>
      </c>
      <c r="B202" s="4" t="s">
        <v>43</v>
      </c>
      <c r="C202" s="5">
        <v>12</v>
      </c>
      <c r="D202" s="5" t="s">
        <v>108</v>
      </c>
      <c r="E202" s="5" t="s">
        <v>107</v>
      </c>
      <c r="F202" s="6">
        <v>0</v>
      </c>
      <c r="G202" t="str">
        <f>VLOOKUP(InputData[[#This Row],[PRODUCT ID]],MasterData[],2,)</f>
        <v>Product18</v>
      </c>
      <c r="H202" t="str">
        <f>VLOOKUP(InputData[[#This Row],[PRODUCT ID]],MasterData[],3,)</f>
        <v>Category02</v>
      </c>
      <c r="I202" t="str">
        <f>VLOOKUP(InputData[[#This Row],[PRODUCT ID]],MasterData[],4,)</f>
        <v>No.</v>
      </c>
      <c r="J202" s="7">
        <f>VLOOKUP(InputData[[#This Row],[PRODUCT ID]],MasterData[],5,)</f>
        <v>37</v>
      </c>
      <c r="K202" s="7">
        <f>VLOOKUP(InputData[[#This Row],[PRODUCT ID]],MasterData[],6,)</f>
        <v>49.21</v>
      </c>
      <c r="L202" s="7">
        <f>InputData[[#This Row],[BUYING PRIZE]]*InputData[[#This Row],[QUANTITY]]</f>
        <v>444</v>
      </c>
      <c r="M202" s="7">
        <f>InputData[[#This Row],[SELLING PRICE]]*InputData[[#This Row],[QUANTITY]]*(1-InputData[[#This Row],[DISCOUNT %]])</f>
        <v>590.52</v>
      </c>
      <c r="N202">
        <f>DAY(InputData[[#This Row],[DATE]])</f>
        <v>23</v>
      </c>
      <c r="O202" t="str">
        <f>TEXT(InputData[[#This Row],[DATE]],"mmm")</f>
        <v>Sep</v>
      </c>
      <c r="P202">
        <f>YEAR(InputData[[#This Row],[DATE]])</f>
        <v>2021</v>
      </c>
    </row>
    <row r="203" spans="1:16" x14ac:dyDescent="0.3">
      <c r="A203" s="3">
        <v>44462</v>
      </c>
      <c r="B203" s="4" t="s">
        <v>50</v>
      </c>
      <c r="C203" s="5">
        <v>7</v>
      </c>
      <c r="D203" s="5" t="s">
        <v>106</v>
      </c>
      <c r="E203" s="5" t="s">
        <v>106</v>
      </c>
      <c r="F203" s="6">
        <v>0</v>
      </c>
      <c r="G203" t="str">
        <f>VLOOKUP(InputData[[#This Row],[PRODUCT ID]],MasterData[],2,)</f>
        <v>Product21</v>
      </c>
      <c r="H203" t="str">
        <f>VLOOKUP(InputData[[#This Row],[PRODUCT ID]],MasterData[],3,)</f>
        <v>Category03</v>
      </c>
      <c r="I203" t="str">
        <f>VLOOKUP(InputData[[#This Row],[PRODUCT ID]],MasterData[],4,)</f>
        <v>Ft</v>
      </c>
      <c r="J203" s="7">
        <f>VLOOKUP(InputData[[#This Row],[PRODUCT ID]],MasterData[],5,)</f>
        <v>126</v>
      </c>
      <c r="K203" s="7">
        <f>VLOOKUP(InputData[[#This Row],[PRODUCT ID]],MasterData[],6,)</f>
        <v>162.54</v>
      </c>
      <c r="L203" s="7">
        <f>InputData[[#This Row],[BUYING PRIZE]]*InputData[[#This Row],[QUANTITY]]</f>
        <v>882</v>
      </c>
      <c r="M203" s="7">
        <f>InputData[[#This Row],[SELLING PRICE]]*InputData[[#This Row],[QUANTITY]]*(1-InputData[[#This Row],[DISCOUNT %]])</f>
        <v>1137.78</v>
      </c>
      <c r="N203">
        <f>DAY(InputData[[#This Row],[DATE]])</f>
        <v>23</v>
      </c>
      <c r="O203" t="str">
        <f>TEXT(InputData[[#This Row],[DATE]],"mmm")</f>
        <v>Sep</v>
      </c>
      <c r="P203">
        <f>YEAR(InputData[[#This Row],[DATE]])</f>
        <v>2021</v>
      </c>
    </row>
    <row r="204" spans="1:16" x14ac:dyDescent="0.3">
      <c r="A204" s="3">
        <v>44466</v>
      </c>
      <c r="B204" s="4" t="s">
        <v>77</v>
      </c>
      <c r="C204" s="5">
        <v>1</v>
      </c>
      <c r="D204" s="5" t="s">
        <v>108</v>
      </c>
      <c r="E204" s="5" t="s">
        <v>107</v>
      </c>
      <c r="F204" s="6">
        <v>0</v>
      </c>
      <c r="G204" t="str">
        <f>VLOOKUP(InputData[[#This Row],[PRODUCT ID]],MasterData[],2,)</f>
        <v>Product34</v>
      </c>
      <c r="H204" t="str">
        <f>VLOOKUP(InputData[[#This Row],[PRODUCT ID]],MasterData[],3,)</f>
        <v>Category04</v>
      </c>
      <c r="I204" t="str">
        <f>VLOOKUP(InputData[[#This Row],[PRODUCT ID]],MasterData[],4,)</f>
        <v>Lt</v>
      </c>
      <c r="J204" s="7">
        <f>VLOOKUP(InputData[[#This Row],[PRODUCT ID]],MasterData[],5,)</f>
        <v>55</v>
      </c>
      <c r="K204" s="7">
        <f>VLOOKUP(InputData[[#This Row],[PRODUCT ID]],MasterData[],6,)</f>
        <v>58.3</v>
      </c>
      <c r="L204" s="7">
        <f>InputData[[#This Row],[BUYING PRIZE]]*InputData[[#This Row],[QUANTITY]]</f>
        <v>55</v>
      </c>
      <c r="M204" s="7">
        <f>InputData[[#This Row],[SELLING PRICE]]*InputData[[#This Row],[QUANTITY]]*(1-InputData[[#This Row],[DISCOUNT %]])</f>
        <v>58.3</v>
      </c>
      <c r="N204">
        <f>DAY(InputData[[#This Row],[DATE]])</f>
        <v>27</v>
      </c>
      <c r="O204" t="str">
        <f>TEXT(InputData[[#This Row],[DATE]],"mmm")</f>
        <v>Sep</v>
      </c>
      <c r="P204">
        <f>YEAR(InputData[[#This Row],[DATE]])</f>
        <v>2021</v>
      </c>
    </row>
    <row r="205" spans="1:16" x14ac:dyDescent="0.3">
      <c r="A205" s="3">
        <v>44469</v>
      </c>
      <c r="B205" s="4" t="s">
        <v>35</v>
      </c>
      <c r="C205" s="5">
        <v>9</v>
      </c>
      <c r="D205" s="5" t="s">
        <v>106</v>
      </c>
      <c r="E205" s="5" t="s">
        <v>106</v>
      </c>
      <c r="F205" s="6">
        <v>0</v>
      </c>
      <c r="G205" t="str">
        <f>VLOOKUP(InputData[[#This Row],[PRODUCT ID]],MasterData[],2,)</f>
        <v>Product14</v>
      </c>
      <c r="H205" t="str">
        <f>VLOOKUP(InputData[[#This Row],[PRODUCT ID]],MasterData[],3,)</f>
        <v>Category02</v>
      </c>
      <c r="I205" t="str">
        <f>VLOOKUP(InputData[[#This Row],[PRODUCT ID]],MasterData[],4,)</f>
        <v>Kg</v>
      </c>
      <c r="J205" s="7">
        <f>VLOOKUP(InputData[[#This Row],[PRODUCT ID]],MasterData[],5,)</f>
        <v>112</v>
      </c>
      <c r="K205" s="7">
        <f>VLOOKUP(InputData[[#This Row],[PRODUCT ID]],MasterData[],6,)</f>
        <v>146.72</v>
      </c>
      <c r="L205" s="7">
        <f>InputData[[#This Row],[BUYING PRIZE]]*InputData[[#This Row],[QUANTITY]]</f>
        <v>1008</v>
      </c>
      <c r="M205" s="7">
        <f>InputData[[#This Row],[SELLING PRICE]]*InputData[[#This Row],[QUANTITY]]*(1-InputData[[#This Row],[DISCOUNT %]])</f>
        <v>1320.48</v>
      </c>
      <c r="N205">
        <f>DAY(InputData[[#This Row],[DATE]])</f>
        <v>30</v>
      </c>
      <c r="O205" t="str">
        <f>TEXT(InputData[[#This Row],[DATE]],"mmm")</f>
        <v>Sep</v>
      </c>
      <c r="P205">
        <f>YEAR(InputData[[#This Row],[DATE]])</f>
        <v>2021</v>
      </c>
    </row>
    <row r="206" spans="1:16" x14ac:dyDescent="0.3">
      <c r="A206" s="3">
        <v>44469</v>
      </c>
      <c r="B206" s="4" t="s">
        <v>18</v>
      </c>
      <c r="C206" s="5">
        <v>5</v>
      </c>
      <c r="D206" s="5" t="s">
        <v>106</v>
      </c>
      <c r="E206" s="5" t="s">
        <v>106</v>
      </c>
      <c r="F206" s="6">
        <v>0</v>
      </c>
      <c r="G206" t="str">
        <f>VLOOKUP(InputData[[#This Row],[PRODUCT ID]],MasterData[],2,)</f>
        <v>Product06</v>
      </c>
      <c r="H206" t="str">
        <f>VLOOKUP(InputData[[#This Row],[PRODUCT ID]],MasterData[],3,)</f>
        <v>Category01</v>
      </c>
      <c r="I206" t="str">
        <f>VLOOKUP(InputData[[#This Row],[PRODUCT ID]],MasterData[],4,)</f>
        <v>Kg</v>
      </c>
      <c r="J206" s="7">
        <f>VLOOKUP(InputData[[#This Row],[PRODUCT ID]],MasterData[],5,)</f>
        <v>75</v>
      </c>
      <c r="K206" s="7">
        <f>VLOOKUP(InputData[[#This Row],[PRODUCT ID]],MasterData[],6,)</f>
        <v>85.5</v>
      </c>
      <c r="L206" s="7">
        <f>InputData[[#This Row],[BUYING PRIZE]]*InputData[[#This Row],[QUANTITY]]</f>
        <v>375</v>
      </c>
      <c r="M206" s="7">
        <f>InputData[[#This Row],[SELLING PRICE]]*InputData[[#This Row],[QUANTITY]]*(1-InputData[[#This Row],[DISCOUNT %]])</f>
        <v>427.5</v>
      </c>
      <c r="N206">
        <f>DAY(InputData[[#This Row],[DATE]])</f>
        <v>30</v>
      </c>
      <c r="O206" t="str">
        <f>TEXT(InputData[[#This Row],[DATE]],"mmm")</f>
        <v>Sep</v>
      </c>
      <c r="P206">
        <f>YEAR(InputData[[#This Row],[DATE]])</f>
        <v>2021</v>
      </c>
    </row>
    <row r="207" spans="1:16" x14ac:dyDescent="0.3">
      <c r="A207" s="3">
        <v>44470</v>
      </c>
      <c r="B207" s="4" t="s">
        <v>69</v>
      </c>
      <c r="C207" s="5">
        <v>14</v>
      </c>
      <c r="D207" s="5" t="s">
        <v>106</v>
      </c>
      <c r="E207" s="5" t="s">
        <v>107</v>
      </c>
      <c r="F207" s="6">
        <v>0</v>
      </c>
      <c r="G207" t="str">
        <f>VLOOKUP(InputData[[#This Row],[PRODUCT ID]],MasterData[],2,)</f>
        <v>Product30</v>
      </c>
      <c r="H207" t="str">
        <f>VLOOKUP(InputData[[#This Row],[PRODUCT ID]],MasterData[],3,)</f>
        <v>Category04</v>
      </c>
      <c r="I207" t="str">
        <f>VLOOKUP(InputData[[#This Row],[PRODUCT ID]],MasterData[],4,)</f>
        <v>Ft</v>
      </c>
      <c r="J207" s="7">
        <f>VLOOKUP(InputData[[#This Row],[PRODUCT ID]],MasterData[],5,)</f>
        <v>148</v>
      </c>
      <c r="K207" s="7">
        <f>VLOOKUP(InputData[[#This Row],[PRODUCT ID]],MasterData[],6,)</f>
        <v>201.28</v>
      </c>
      <c r="L207" s="7">
        <f>InputData[[#This Row],[BUYING PRIZE]]*InputData[[#This Row],[QUANTITY]]</f>
        <v>2072</v>
      </c>
      <c r="M207" s="7">
        <f>InputData[[#This Row],[SELLING PRICE]]*InputData[[#This Row],[QUANTITY]]*(1-InputData[[#This Row],[DISCOUNT %]])</f>
        <v>2817.92</v>
      </c>
      <c r="N207">
        <f>DAY(InputData[[#This Row],[DATE]])</f>
        <v>1</v>
      </c>
      <c r="O207" t="str">
        <f>TEXT(InputData[[#This Row],[DATE]],"mmm")</f>
        <v>Oct</v>
      </c>
      <c r="P207">
        <f>YEAR(InputData[[#This Row],[DATE]])</f>
        <v>2021</v>
      </c>
    </row>
    <row r="208" spans="1:16" x14ac:dyDescent="0.3">
      <c r="A208" s="3">
        <v>44471</v>
      </c>
      <c r="B208" s="4" t="s">
        <v>35</v>
      </c>
      <c r="C208" s="5">
        <v>15</v>
      </c>
      <c r="D208" s="5" t="s">
        <v>108</v>
      </c>
      <c r="E208" s="5" t="s">
        <v>106</v>
      </c>
      <c r="F208" s="6">
        <v>0</v>
      </c>
      <c r="G208" t="str">
        <f>VLOOKUP(InputData[[#This Row],[PRODUCT ID]],MasterData[],2,)</f>
        <v>Product14</v>
      </c>
      <c r="H208" t="str">
        <f>VLOOKUP(InputData[[#This Row],[PRODUCT ID]],MasterData[],3,)</f>
        <v>Category02</v>
      </c>
      <c r="I208" t="str">
        <f>VLOOKUP(InputData[[#This Row],[PRODUCT ID]],MasterData[],4,)</f>
        <v>Kg</v>
      </c>
      <c r="J208" s="7">
        <f>VLOOKUP(InputData[[#This Row],[PRODUCT ID]],MasterData[],5,)</f>
        <v>112</v>
      </c>
      <c r="K208" s="7">
        <f>VLOOKUP(InputData[[#This Row],[PRODUCT ID]],MasterData[],6,)</f>
        <v>146.72</v>
      </c>
      <c r="L208" s="7">
        <f>InputData[[#This Row],[BUYING PRIZE]]*InputData[[#This Row],[QUANTITY]]</f>
        <v>1680</v>
      </c>
      <c r="M208" s="7">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3">
      <c r="A209" s="3">
        <v>44472</v>
      </c>
      <c r="B209" s="4" t="s">
        <v>45</v>
      </c>
      <c r="C209" s="5">
        <v>9</v>
      </c>
      <c r="D209" s="5" t="s">
        <v>108</v>
      </c>
      <c r="E209" s="5" t="s">
        <v>106</v>
      </c>
      <c r="F209" s="6">
        <v>0</v>
      </c>
      <c r="G209" t="str">
        <f>VLOOKUP(InputData[[#This Row],[PRODUCT ID]],MasterData[],2,)</f>
        <v>Product19</v>
      </c>
      <c r="H209" t="str">
        <f>VLOOKUP(InputData[[#This Row],[PRODUCT ID]],MasterData[],3,)</f>
        <v>Category02</v>
      </c>
      <c r="I209" t="str">
        <f>VLOOKUP(InputData[[#This Row],[PRODUCT ID]],MasterData[],4,)</f>
        <v>Ft</v>
      </c>
      <c r="J209" s="7">
        <f>VLOOKUP(InputData[[#This Row],[PRODUCT ID]],MasterData[],5,)</f>
        <v>150</v>
      </c>
      <c r="K209" s="7">
        <f>VLOOKUP(InputData[[#This Row],[PRODUCT ID]],MasterData[],6,)</f>
        <v>210</v>
      </c>
      <c r="L209" s="7">
        <f>InputData[[#This Row],[BUYING PRIZE]]*InputData[[#This Row],[QUANTITY]]</f>
        <v>1350</v>
      </c>
      <c r="M209" s="7">
        <f>InputData[[#This Row],[SELLING PRICE]]*InputData[[#This Row],[QUANTITY]]*(1-InputData[[#This Row],[DISCOUNT %]])</f>
        <v>1890</v>
      </c>
      <c r="N209">
        <f>DAY(InputData[[#This Row],[DATE]])</f>
        <v>3</v>
      </c>
      <c r="O209" t="str">
        <f>TEXT(InputData[[#This Row],[DATE]],"mmm")</f>
        <v>Oct</v>
      </c>
      <c r="P209">
        <f>YEAR(InputData[[#This Row],[DATE]])</f>
        <v>2021</v>
      </c>
    </row>
    <row r="210" spans="1:16" x14ac:dyDescent="0.3">
      <c r="A210" s="3">
        <v>44475</v>
      </c>
      <c r="B210" s="4" t="s">
        <v>79</v>
      </c>
      <c r="C210" s="5">
        <v>1</v>
      </c>
      <c r="D210" s="5" t="s">
        <v>108</v>
      </c>
      <c r="E210" s="5" t="s">
        <v>106</v>
      </c>
      <c r="F210" s="6">
        <v>0</v>
      </c>
      <c r="G210" t="str">
        <f>VLOOKUP(InputData[[#This Row],[PRODUCT ID]],MasterData[],2,)</f>
        <v>Product35</v>
      </c>
      <c r="H210" t="str">
        <f>VLOOKUP(InputData[[#This Row],[PRODUCT ID]],MasterData[],3,)</f>
        <v>Category04</v>
      </c>
      <c r="I210" t="str">
        <f>VLOOKUP(InputData[[#This Row],[PRODUCT ID]],MasterData[],4,)</f>
        <v>No.</v>
      </c>
      <c r="J210" s="7">
        <f>VLOOKUP(InputData[[#This Row],[PRODUCT ID]],MasterData[],5,)</f>
        <v>5</v>
      </c>
      <c r="K210" s="7">
        <f>VLOOKUP(InputData[[#This Row],[PRODUCT ID]],MasterData[],6,)</f>
        <v>6.7</v>
      </c>
      <c r="L210" s="7">
        <f>InputData[[#This Row],[BUYING PRIZE]]*InputData[[#This Row],[QUANTITY]]</f>
        <v>5</v>
      </c>
      <c r="M210" s="7">
        <f>InputData[[#This Row],[SELLING PRICE]]*InputData[[#This Row],[QUANTITY]]*(1-InputData[[#This Row],[DISCOUNT %]])</f>
        <v>6.7</v>
      </c>
      <c r="N210">
        <f>DAY(InputData[[#This Row],[DATE]])</f>
        <v>6</v>
      </c>
      <c r="O210" t="str">
        <f>TEXT(InputData[[#This Row],[DATE]],"mmm")</f>
        <v>Oct</v>
      </c>
      <c r="P210">
        <f>YEAR(InputData[[#This Row],[DATE]])</f>
        <v>2021</v>
      </c>
    </row>
    <row r="211" spans="1:16" x14ac:dyDescent="0.3">
      <c r="A211" s="3">
        <v>44475</v>
      </c>
      <c r="B211" s="4" t="s">
        <v>81</v>
      </c>
      <c r="C211" s="5">
        <v>12</v>
      </c>
      <c r="D211" s="5" t="s">
        <v>106</v>
      </c>
      <c r="E211" s="5" t="s">
        <v>106</v>
      </c>
      <c r="F211" s="6">
        <v>0</v>
      </c>
      <c r="G211" t="str">
        <f>VLOOKUP(InputData[[#This Row],[PRODUCT ID]],MasterData[],2,)</f>
        <v>Product36</v>
      </c>
      <c r="H211" t="str">
        <f>VLOOKUP(InputData[[#This Row],[PRODUCT ID]],MasterData[],3,)</f>
        <v>Category04</v>
      </c>
      <c r="I211" t="str">
        <f>VLOOKUP(InputData[[#This Row],[PRODUCT ID]],MasterData[],4,)</f>
        <v>Kg</v>
      </c>
      <c r="J211" s="7">
        <f>VLOOKUP(InputData[[#This Row],[PRODUCT ID]],MasterData[],5,)</f>
        <v>90</v>
      </c>
      <c r="K211" s="7">
        <f>VLOOKUP(InputData[[#This Row],[PRODUCT ID]],MasterData[],6,)</f>
        <v>96.3</v>
      </c>
      <c r="L211" s="7">
        <f>InputData[[#This Row],[BUYING PRIZE]]*InputData[[#This Row],[QUANTITY]]</f>
        <v>1080</v>
      </c>
      <c r="M211" s="7">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3">
      <c r="A212" s="3">
        <v>44476</v>
      </c>
      <c r="B212" s="4" t="s">
        <v>60</v>
      </c>
      <c r="C212" s="5">
        <v>6</v>
      </c>
      <c r="D212" s="5" t="s">
        <v>108</v>
      </c>
      <c r="E212" s="5" t="s">
        <v>107</v>
      </c>
      <c r="F212" s="6">
        <v>0</v>
      </c>
      <c r="G212" t="str">
        <f>VLOOKUP(InputData[[#This Row],[PRODUCT ID]],MasterData[],2,)</f>
        <v>Product26</v>
      </c>
      <c r="H212" t="str">
        <f>VLOOKUP(InputData[[#This Row],[PRODUCT ID]],MasterData[],3,)</f>
        <v>Category04</v>
      </c>
      <c r="I212" t="str">
        <f>VLOOKUP(InputData[[#This Row],[PRODUCT ID]],MasterData[],4,)</f>
        <v>No.</v>
      </c>
      <c r="J212" s="7">
        <f>VLOOKUP(InputData[[#This Row],[PRODUCT ID]],MasterData[],5,)</f>
        <v>18</v>
      </c>
      <c r="K212" s="7">
        <f>VLOOKUP(InputData[[#This Row],[PRODUCT ID]],MasterData[],6,)</f>
        <v>24.66</v>
      </c>
      <c r="L212" s="7">
        <f>InputData[[#This Row],[BUYING PRIZE]]*InputData[[#This Row],[QUANTITY]]</f>
        <v>108</v>
      </c>
      <c r="M212" s="7">
        <f>InputData[[#This Row],[SELLING PRICE]]*InputData[[#This Row],[QUANTITY]]*(1-InputData[[#This Row],[DISCOUNT %]])</f>
        <v>147.96</v>
      </c>
      <c r="N212">
        <f>DAY(InputData[[#This Row],[DATE]])</f>
        <v>7</v>
      </c>
      <c r="O212" t="str">
        <f>TEXT(InputData[[#This Row],[DATE]],"mmm")</f>
        <v>Oct</v>
      </c>
      <c r="P212">
        <f>YEAR(InputData[[#This Row],[DATE]])</f>
        <v>2021</v>
      </c>
    </row>
    <row r="213" spans="1:16" x14ac:dyDescent="0.3">
      <c r="A213" s="3">
        <v>44478</v>
      </c>
      <c r="B213" s="4" t="s">
        <v>86</v>
      </c>
      <c r="C213" s="5">
        <v>5</v>
      </c>
      <c r="D213" s="5" t="s">
        <v>108</v>
      </c>
      <c r="E213" s="5" t="s">
        <v>107</v>
      </c>
      <c r="F213" s="6">
        <v>0</v>
      </c>
      <c r="G213" t="str">
        <f>VLOOKUP(InputData[[#This Row],[PRODUCT ID]],MasterData[],2,)</f>
        <v>Product38</v>
      </c>
      <c r="H213" t="str">
        <f>VLOOKUP(InputData[[#This Row],[PRODUCT ID]],MasterData[],3,)</f>
        <v>Category05</v>
      </c>
      <c r="I213" t="str">
        <f>VLOOKUP(InputData[[#This Row],[PRODUCT ID]],MasterData[],4,)</f>
        <v>Kg</v>
      </c>
      <c r="J213" s="7">
        <f>VLOOKUP(InputData[[#This Row],[PRODUCT ID]],MasterData[],5,)</f>
        <v>72</v>
      </c>
      <c r="K213" s="7">
        <f>VLOOKUP(InputData[[#This Row],[PRODUCT ID]],MasterData[],6,)</f>
        <v>79.92</v>
      </c>
      <c r="L213" s="7">
        <f>InputData[[#This Row],[BUYING PRIZE]]*InputData[[#This Row],[QUANTITY]]</f>
        <v>360</v>
      </c>
      <c r="M213" s="7">
        <f>InputData[[#This Row],[SELLING PRICE]]*InputData[[#This Row],[QUANTITY]]*(1-InputData[[#This Row],[DISCOUNT %]])</f>
        <v>399.6</v>
      </c>
      <c r="N213">
        <f>DAY(InputData[[#This Row],[DATE]])</f>
        <v>9</v>
      </c>
      <c r="O213" t="str">
        <f>TEXT(InputData[[#This Row],[DATE]],"mmm")</f>
        <v>Oct</v>
      </c>
      <c r="P213">
        <f>YEAR(InputData[[#This Row],[DATE]])</f>
        <v>2021</v>
      </c>
    </row>
    <row r="214" spans="1:16" x14ac:dyDescent="0.3">
      <c r="A214" s="3">
        <v>44478</v>
      </c>
      <c r="B214" s="4" t="s">
        <v>73</v>
      </c>
      <c r="C214" s="5">
        <v>11</v>
      </c>
      <c r="D214" s="5" t="s">
        <v>106</v>
      </c>
      <c r="E214" s="5" t="s">
        <v>107</v>
      </c>
      <c r="F214" s="6">
        <v>0</v>
      </c>
      <c r="G214" t="str">
        <f>VLOOKUP(InputData[[#This Row],[PRODUCT ID]],MasterData[],2,)</f>
        <v>Product32</v>
      </c>
      <c r="H214" t="str">
        <f>VLOOKUP(InputData[[#This Row],[PRODUCT ID]],MasterData[],3,)</f>
        <v>Category04</v>
      </c>
      <c r="I214" t="str">
        <f>VLOOKUP(InputData[[#This Row],[PRODUCT ID]],MasterData[],4,)</f>
        <v>Kg</v>
      </c>
      <c r="J214" s="7">
        <f>VLOOKUP(InputData[[#This Row],[PRODUCT ID]],MasterData[],5,)</f>
        <v>89</v>
      </c>
      <c r="K214" s="7">
        <f>VLOOKUP(InputData[[#This Row],[PRODUCT ID]],MasterData[],6,)</f>
        <v>117.48</v>
      </c>
      <c r="L214" s="7">
        <f>InputData[[#This Row],[BUYING PRIZE]]*InputData[[#This Row],[QUANTITY]]</f>
        <v>979</v>
      </c>
      <c r="M214" s="7">
        <f>InputData[[#This Row],[SELLING PRICE]]*InputData[[#This Row],[QUANTITY]]*(1-InputData[[#This Row],[DISCOUNT %]])</f>
        <v>1292.28</v>
      </c>
      <c r="N214">
        <f>DAY(InputData[[#This Row],[DATE]])</f>
        <v>9</v>
      </c>
      <c r="O214" t="str">
        <f>TEXT(InputData[[#This Row],[DATE]],"mmm")</f>
        <v>Oct</v>
      </c>
      <c r="P214">
        <f>YEAR(InputData[[#This Row],[DATE]])</f>
        <v>2021</v>
      </c>
    </row>
    <row r="215" spans="1:16" x14ac:dyDescent="0.3">
      <c r="A215" s="3">
        <v>44479</v>
      </c>
      <c r="B215" s="4" t="s">
        <v>79</v>
      </c>
      <c r="C215" s="5">
        <v>14</v>
      </c>
      <c r="D215" s="5" t="s">
        <v>108</v>
      </c>
      <c r="E215" s="5" t="s">
        <v>107</v>
      </c>
      <c r="F215" s="6">
        <v>0</v>
      </c>
      <c r="G215" t="str">
        <f>VLOOKUP(InputData[[#This Row],[PRODUCT ID]],MasterData[],2,)</f>
        <v>Product35</v>
      </c>
      <c r="H215" t="str">
        <f>VLOOKUP(InputData[[#This Row],[PRODUCT ID]],MasterData[],3,)</f>
        <v>Category04</v>
      </c>
      <c r="I215" t="str">
        <f>VLOOKUP(InputData[[#This Row],[PRODUCT ID]],MasterData[],4,)</f>
        <v>No.</v>
      </c>
      <c r="J215" s="7">
        <f>VLOOKUP(InputData[[#This Row],[PRODUCT ID]],MasterData[],5,)</f>
        <v>5</v>
      </c>
      <c r="K215" s="7">
        <f>VLOOKUP(InputData[[#This Row],[PRODUCT ID]],MasterData[],6,)</f>
        <v>6.7</v>
      </c>
      <c r="L215" s="7">
        <f>InputData[[#This Row],[BUYING PRIZE]]*InputData[[#This Row],[QUANTITY]]</f>
        <v>70</v>
      </c>
      <c r="M215" s="7">
        <f>InputData[[#This Row],[SELLING PRICE]]*InputData[[#This Row],[QUANTITY]]*(1-InputData[[#This Row],[DISCOUNT %]])</f>
        <v>93.8</v>
      </c>
      <c r="N215">
        <f>DAY(InputData[[#This Row],[DATE]])</f>
        <v>10</v>
      </c>
      <c r="O215" t="str">
        <f>TEXT(InputData[[#This Row],[DATE]],"mmm")</f>
        <v>Oct</v>
      </c>
      <c r="P215">
        <f>YEAR(InputData[[#This Row],[DATE]])</f>
        <v>2021</v>
      </c>
    </row>
    <row r="216" spans="1:16" x14ac:dyDescent="0.3">
      <c r="A216" s="3">
        <v>44480</v>
      </c>
      <c r="B216" s="4" t="s">
        <v>29</v>
      </c>
      <c r="C216" s="5">
        <v>15</v>
      </c>
      <c r="D216" s="5" t="s">
        <v>108</v>
      </c>
      <c r="E216" s="5" t="s">
        <v>107</v>
      </c>
      <c r="F216" s="6">
        <v>0</v>
      </c>
      <c r="G216" t="str">
        <f>VLOOKUP(InputData[[#This Row],[PRODUCT ID]],MasterData[],2,)</f>
        <v>Product11</v>
      </c>
      <c r="H216" t="str">
        <f>VLOOKUP(InputData[[#This Row],[PRODUCT ID]],MasterData[],3,)</f>
        <v>Category02</v>
      </c>
      <c r="I216" t="str">
        <f>VLOOKUP(InputData[[#This Row],[PRODUCT ID]],MasterData[],4,)</f>
        <v>Lt</v>
      </c>
      <c r="J216" s="7">
        <f>VLOOKUP(InputData[[#This Row],[PRODUCT ID]],MasterData[],5,)</f>
        <v>44</v>
      </c>
      <c r="K216" s="7">
        <f>VLOOKUP(InputData[[#This Row],[PRODUCT ID]],MasterData[],6,)</f>
        <v>48.4</v>
      </c>
      <c r="L216" s="7">
        <f>InputData[[#This Row],[BUYING PRIZE]]*InputData[[#This Row],[QUANTITY]]</f>
        <v>660</v>
      </c>
      <c r="M216" s="7">
        <f>InputData[[#This Row],[SELLING PRICE]]*InputData[[#This Row],[QUANTITY]]*(1-InputData[[#This Row],[DISCOUNT %]])</f>
        <v>726</v>
      </c>
      <c r="N216">
        <f>DAY(InputData[[#This Row],[DATE]])</f>
        <v>11</v>
      </c>
      <c r="O216" t="str">
        <f>TEXT(InputData[[#This Row],[DATE]],"mmm")</f>
        <v>Oct</v>
      </c>
      <c r="P216">
        <f>YEAR(InputData[[#This Row],[DATE]])</f>
        <v>2021</v>
      </c>
    </row>
    <row r="217" spans="1:16" x14ac:dyDescent="0.3">
      <c r="A217" s="3">
        <v>44481</v>
      </c>
      <c r="B217" s="4" t="s">
        <v>63</v>
      </c>
      <c r="C217" s="5">
        <v>8</v>
      </c>
      <c r="D217" s="5" t="s">
        <v>106</v>
      </c>
      <c r="E217" s="5" t="s">
        <v>106</v>
      </c>
      <c r="F217" s="6">
        <v>0</v>
      </c>
      <c r="G217" t="str">
        <f>VLOOKUP(InputData[[#This Row],[PRODUCT ID]],MasterData[],2,)</f>
        <v>Product27</v>
      </c>
      <c r="H217" t="str">
        <f>VLOOKUP(InputData[[#This Row],[PRODUCT ID]],MasterData[],3,)</f>
        <v>Category04</v>
      </c>
      <c r="I217" t="str">
        <f>VLOOKUP(InputData[[#This Row],[PRODUCT ID]],MasterData[],4,)</f>
        <v>Lt</v>
      </c>
      <c r="J217" s="7">
        <f>VLOOKUP(InputData[[#This Row],[PRODUCT ID]],MasterData[],5,)</f>
        <v>48</v>
      </c>
      <c r="K217" s="7">
        <f>VLOOKUP(InputData[[#This Row],[PRODUCT ID]],MasterData[],6,)</f>
        <v>57.120000000000005</v>
      </c>
      <c r="L217" s="7">
        <f>InputData[[#This Row],[BUYING PRIZE]]*InputData[[#This Row],[QUANTITY]]</f>
        <v>384</v>
      </c>
      <c r="M217" s="7">
        <f>InputData[[#This Row],[SELLING PRICE]]*InputData[[#This Row],[QUANTITY]]*(1-InputData[[#This Row],[DISCOUNT %]])</f>
        <v>456.96000000000004</v>
      </c>
      <c r="N217">
        <f>DAY(InputData[[#This Row],[DATE]])</f>
        <v>12</v>
      </c>
      <c r="O217" t="str">
        <f>TEXT(InputData[[#This Row],[DATE]],"mmm")</f>
        <v>Oct</v>
      </c>
      <c r="P217">
        <f>YEAR(InputData[[#This Row],[DATE]])</f>
        <v>2021</v>
      </c>
    </row>
    <row r="218" spans="1:16" x14ac:dyDescent="0.3">
      <c r="A218" s="3">
        <v>44486</v>
      </c>
      <c r="B218" s="4" t="s">
        <v>6</v>
      </c>
      <c r="C218" s="5">
        <v>13</v>
      </c>
      <c r="D218" s="5" t="s">
        <v>108</v>
      </c>
      <c r="E218" s="5" t="s">
        <v>106</v>
      </c>
      <c r="F218" s="6">
        <v>0</v>
      </c>
      <c r="G218" t="str">
        <f>VLOOKUP(InputData[[#This Row],[PRODUCT ID]],MasterData[],2,)</f>
        <v>Product01</v>
      </c>
      <c r="H218" t="str">
        <f>VLOOKUP(InputData[[#This Row],[PRODUCT ID]],MasterData[],3,)</f>
        <v>Category01</v>
      </c>
      <c r="I218" t="str">
        <f>VLOOKUP(InputData[[#This Row],[PRODUCT ID]],MasterData[],4,)</f>
        <v>Kg</v>
      </c>
      <c r="J218" s="7">
        <f>VLOOKUP(InputData[[#This Row],[PRODUCT ID]],MasterData[],5,)</f>
        <v>98</v>
      </c>
      <c r="K218" s="7">
        <f>VLOOKUP(InputData[[#This Row],[PRODUCT ID]],MasterData[],6,)</f>
        <v>103.88</v>
      </c>
      <c r="L218" s="7">
        <f>InputData[[#This Row],[BUYING PRIZE]]*InputData[[#This Row],[QUANTITY]]</f>
        <v>1274</v>
      </c>
      <c r="M218" s="7">
        <f>InputData[[#This Row],[SELLING PRICE]]*InputData[[#This Row],[QUANTITY]]*(1-InputData[[#This Row],[DISCOUNT %]])</f>
        <v>1350.44</v>
      </c>
      <c r="N218">
        <f>DAY(InputData[[#This Row],[DATE]])</f>
        <v>17</v>
      </c>
      <c r="O218" t="str">
        <f>TEXT(InputData[[#This Row],[DATE]],"mmm")</f>
        <v>Oct</v>
      </c>
      <c r="P218">
        <f>YEAR(InputData[[#This Row],[DATE]])</f>
        <v>2021</v>
      </c>
    </row>
    <row r="219" spans="1:16" x14ac:dyDescent="0.3">
      <c r="A219" s="3">
        <v>44487</v>
      </c>
      <c r="B219" s="4" t="s">
        <v>58</v>
      </c>
      <c r="C219" s="5">
        <v>6</v>
      </c>
      <c r="D219" s="5" t="s">
        <v>106</v>
      </c>
      <c r="E219" s="5" t="s">
        <v>107</v>
      </c>
      <c r="F219" s="6">
        <v>0</v>
      </c>
      <c r="G219" t="str">
        <f>VLOOKUP(InputData[[#This Row],[PRODUCT ID]],MasterData[],2,)</f>
        <v>Product25</v>
      </c>
      <c r="H219" t="str">
        <f>VLOOKUP(InputData[[#This Row],[PRODUCT ID]],MasterData[],3,)</f>
        <v>Category03</v>
      </c>
      <c r="I219" t="str">
        <f>VLOOKUP(InputData[[#This Row],[PRODUCT ID]],MasterData[],4,)</f>
        <v>No.</v>
      </c>
      <c r="J219" s="7">
        <f>VLOOKUP(InputData[[#This Row],[PRODUCT ID]],MasterData[],5,)</f>
        <v>7</v>
      </c>
      <c r="K219" s="7">
        <f>VLOOKUP(InputData[[#This Row],[PRODUCT ID]],MasterData[],6,)</f>
        <v>8.33</v>
      </c>
      <c r="L219" s="7">
        <f>InputData[[#This Row],[BUYING PRIZE]]*InputData[[#This Row],[QUANTITY]]</f>
        <v>42</v>
      </c>
      <c r="M219" s="7">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3">
      <c r="A220" s="3">
        <v>44487</v>
      </c>
      <c r="B220" s="4" t="s">
        <v>50</v>
      </c>
      <c r="C220" s="5">
        <v>13</v>
      </c>
      <c r="D220" s="5" t="s">
        <v>106</v>
      </c>
      <c r="E220" s="5" t="s">
        <v>107</v>
      </c>
      <c r="F220" s="6">
        <v>0</v>
      </c>
      <c r="G220" t="str">
        <f>VLOOKUP(InputData[[#This Row],[PRODUCT ID]],MasterData[],2,)</f>
        <v>Product21</v>
      </c>
      <c r="H220" t="str">
        <f>VLOOKUP(InputData[[#This Row],[PRODUCT ID]],MasterData[],3,)</f>
        <v>Category03</v>
      </c>
      <c r="I220" t="str">
        <f>VLOOKUP(InputData[[#This Row],[PRODUCT ID]],MasterData[],4,)</f>
        <v>Ft</v>
      </c>
      <c r="J220" s="7">
        <f>VLOOKUP(InputData[[#This Row],[PRODUCT ID]],MasterData[],5,)</f>
        <v>126</v>
      </c>
      <c r="K220" s="7">
        <f>VLOOKUP(InputData[[#This Row],[PRODUCT ID]],MasterData[],6,)</f>
        <v>162.54</v>
      </c>
      <c r="L220" s="7">
        <f>InputData[[#This Row],[BUYING PRIZE]]*InputData[[#This Row],[QUANTITY]]</f>
        <v>1638</v>
      </c>
      <c r="M220" s="7">
        <f>InputData[[#This Row],[SELLING PRICE]]*InputData[[#This Row],[QUANTITY]]*(1-InputData[[#This Row],[DISCOUNT %]])</f>
        <v>2113.02</v>
      </c>
      <c r="N220">
        <f>DAY(InputData[[#This Row],[DATE]])</f>
        <v>18</v>
      </c>
      <c r="O220" t="str">
        <f>TEXT(InputData[[#This Row],[DATE]],"mmm")</f>
        <v>Oct</v>
      </c>
      <c r="P220">
        <f>YEAR(InputData[[#This Row],[DATE]])</f>
        <v>2021</v>
      </c>
    </row>
    <row r="221" spans="1:16" x14ac:dyDescent="0.3">
      <c r="A221" s="3">
        <v>44491</v>
      </c>
      <c r="B221" s="4" t="s">
        <v>29</v>
      </c>
      <c r="C221" s="5">
        <v>7</v>
      </c>
      <c r="D221" s="5" t="s">
        <v>108</v>
      </c>
      <c r="E221" s="5" t="s">
        <v>107</v>
      </c>
      <c r="F221" s="6">
        <v>0</v>
      </c>
      <c r="G221" t="str">
        <f>VLOOKUP(InputData[[#This Row],[PRODUCT ID]],MasterData[],2,)</f>
        <v>Product11</v>
      </c>
      <c r="H221" t="str">
        <f>VLOOKUP(InputData[[#This Row],[PRODUCT ID]],MasterData[],3,)</f>
        <v>Category02</v>
      </c>
      <c r="I221" t="str">
        <f>VLOOKUP(InputData[[#This Row],[PRODUCT ID]],MasterData[],4,)</f>
        <v>Lt</v>
      </c>
      <c r="J221" s="7">
        <f>VLOOKUP(InputData[[#This Row],[PRODUCT ID]],MasterData[],5,)</f>
        <v>44</v>
      </c>
      <c r="K221" s="7">
        <f>VLOOKUP(InputData[[#This Row],[PRODUCT ID]],MasterData[],6,)</f>
        <v>48.4</v>
      </c>
      <c r="L221" s="7">
        <f>InputData[[#This Row],[BUYING PRIZE]]*InputData[[#This Row],[QUANTITY]]</f>
        <v>308</v>
      </c>
      <c r="M221" s="7">
        <f>InputData[[#This Row],[SELLING PRICE]]*InputData[[#This Row],[QUANTITY]]*(1-InputData[[#This Row],[DISCOUNT %]])</f>
        <v>338.8</v>
      </c>
      <c r="N221">
        <f>DAY(InputData[[#This Row],[DATE]])</f>
        <v>22</v>
      </c>
      <c r="O221" t="str">
        <f>TEXT(InputData[[#This Row],[DATE]],"mmm")</f>
        <v>Oct</v>
      </c>
      <c r="P221">
        <f>YEAR(InputData[[#This Row],[DATE]])</f>
        <v>2021</v>
      </c>
    </row>
    <row r="222" spans="1:16" x14ac:dyDescent="0.3">
      <c r="A222" s="3">
        <v>44491</v>
      </c>
      <c r="B222" s="4" t="s">
        <v>56</v>
      </c>
      <c r="C222" s="5">
        <v>13</v>
      </c>
      <c r="D222" s="5" t="s">
        <v>106</v>
      </c>
      <c r="E222" s="5" t="s">
        <v>107</v>
      </c>
      <c r="F222" s="6">
        <v>0</v>
      </c>
      <c r="G222" t="str">
        <f>VLOOKUP(InputData[[#This Row],[PRODUCT ID]],MasterData[],2,)</f>
        <v>Product24</v>
      </c>
      <c r="H222" t="str">
        <f>VLOOKUP(InputData[[#This Row],[PRODUCT ID]],MasterData[],3,)</f>
        <v>Category03</v>
      </c>
      <c r="I222" t="str">
        <f>VLOOKUP(InputData[[#This Row],[PRODUCT ID]],MasterData[],4,)</f>
        <v>Ft</v>
      </c>
      <c r="J222" s="7">
        <f>VLOOKUP(InputData[[#This Row],[PRODUCT ID]],MasterData[],5,)</f>
        <v>144</v>
      </c>
      <c r="K222" s="7">
        <f>VLOOKUP(InputData[[#This Row],[PRODUCT ID]],MasterData[],6,)</f>
        <v>156.96</v>
      </c>
      <c r="L222" s="7">
        <f>InputData[[#This Row],[BUYING PRIZE]]*InputData[[#This Row],[QUANTITY]]</f>
        <v>1872</v>
      </c>
      <c r="M222" s="7">
        <f>InputData[[#This Row],[SELLING PRICE]]*InputData[[#This Row],[QUANTITY]]*(1-InputData[[#This Row],[DISCOUNT %]])</f>
        <v>2040.48</v>
      </c>
      <c r="N222">
        <f>DAY(InputData[[#This Row],[DATE]])</f>
        <v>22</v>
      </c>
      <c r="O222" t="str">
        <f>TEXT(InputData[[#This Row],[DATE]],"mmm")</f>
        <v>Oct</v>
      </c>
      <c r="P222">
        <f>YEAR(InputData[[#This Row],[DATE]])</f>
        <v>2021</v>
      </c>
    </row>
    <row r="223" spans="1:16" x14ac:dyDescent="0.3">
      <c r="A223" s="3">
        <v>44491</v>
      </c>
      <c r="B223" s="4" t="s">
        <v>24</v>
      </c>
      <c r="C223" s="5">
        <v>1</v>
      </c>
      <c r="D223" s="5" t="s">
        <v>108</v>
      </c>
      <c r="E223" s="5" t="s">
        <v>107</v>
      </c>
      <c r="F223" s="6">
        <v>0</v>
      </c>
      <c r="G223" t="str">
        <f>VLOOKUP(InputData[[#This Row],[PRODUCT ID]],MasterData[],2,)</f>
        <v>Product09</v>
      </c>
      <c r="H223" t="str">
        <f>VLOOKUP(InputData[[#This Row],[PRODUCT ID]],MasterData[],3,)</f>
        <v>Category01</v>
      </c>
      <c r="I223" t="str">
        <f>VLOOKUP(InputData[[#This Row],[PRODUCT ID]],MasterData[],4,)</f>
        <v>No.</v>
      </c>
      <c r="J223" s="7">
        <f>VLOOKUP(InputData[[#This Row],[PRODUCT ID]],MasterData[],5,)</f>
        <v>6</v>
      </c>
      <c r="K223" s="7">
        <f>VLOOKUP(InputData[[#This Row],[PRODUCT ID]],MasterData[],6,)</f>
        <v>7.8599999999999994</v>
      </c>
      <c r="L223" s="7">
        <f>InputData[[#This Row],[BUYING PRIZE]]*InputData[[#This Row],[QUANTITY]]</f>
        <v>6</v>
      </c>
      <c r="M223" s="7">
        <f>InputData[[#This Row],[SELLING PRICE]]*InputData[[#This Row],[QUANTITY]]*(1-InputData[[#This Row],[DISCOUNT %]])</f>
        <v>7.8599999999999994</v>
      </c>
      <c r="N223">
        <f>DAY(InputData[[#This Row],[DATE]])</f>
        <v>22</v>
      </c>
      <c r="O223" t="str">
        <f>TEXT(InputData[[#This Row],[DATE]],"mmm")</f>
        <v>Oct</v>
      </c>
      <c r="P223">
        <f>YEAR(InputData[[#This Row],[DATE]])</f>
        <v>2021</v>
      </c>
    </row>
    <row r="224" spans="1:16" x14ac:dyDescent="0.3">
      <c r="A224" s="3">
        <v>44493</v>
      </c>
      <c r="B224" s="4" t="s">
        <v>29</v>
      </c>
      <c r="C224" s="5">
        <v>3</v>
      </c>
      <c r="D224" s="5" t="s">
        <v>105</v>
      </c>
      <c r="E224" s="5" t="s">
        <v>107</v>
      </c>
      <c r="F224" s="6">
        <v>0</v>
      </c>
      <c r="G224" t="str">
        <f>VLOOKUP(InputData[[#This Row],[PRODUCT ID]],MasterData[],2,)</f>
        <v>Product11</v>
      </c>
      <c r="H224" t="str">
        <f>VLOOKUP(InputData[[#This Row],[PRODUCT ID]],MasterData[],3,)</f>
        <v>Category02</v>
      </c>
      <c r="I224" t="str">
        <f>VLOOKUP(InputData[[#This Row],[PRODUCT ID]],MasterData[],4,)</f>
        <v>Lt</v>
      </c>
      <c r="J224" s="7">
        <f>VLOOKUP(InputData[[#This Row],[PRODUCT ID]],MasterData[],5,)</f>
        <v>44</v>
      </c>
      <c r="K224" s="7">
        <f>VLOOKUP(InputData[[#This Row],[PRODUCT ID]],MasterData[],6,)</f>
        <v>48.4</v>
      </c>
      <c r="L224" s="7">
        <f>InputData[[#This Row],[BUYING PRIZE]]*InputData[[#This Row],[QUANTITY]]</f>
        <v>132</v>
      </c>
      <c r="M224" s="7">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3">
      <c r="A225" s="3">
        <v>44494</v>
      </c>
      <c r="B225" s="4" t="s">
        <v>98</v>
      </c>
      <c r="C225" s="5">
        <v>9</v>
      </c>
      <c r="D225" s="5" t="s">
        <v>106</v>
      </c>
      <c r="E225" s="5" t="s">
        <v>107</v>
      </c>
      <c r="F225" s="6">
        <v>0</v>
      </c>
      <c r="G225" t="str">
        <f>VLOOKUP(InputData[[#This Row],[PRODUCT ID]],MasterData[],2,)</f>
        <v>Product44</v>
      </c>
      <c r="H225" t="str">
        <f>VLOOKUP(InputData[[#This Row],[PRODUCT ID]],MasterData[],3,)</f>
        <v>Category05</v>
      </c>
      <c r="I225" t="str">
        <f>VLOOKUP(InputData[[#This Row],[PRODUCT ID]],MasterData[],4,)</f>
        <v>Kg</v>
      </c>
      <c r="J225" s="7">
        <f>VLOOKUP(InputData[[#This Row],[PRODUCT ID]],MasterData[],5,)</f>
        <v>76</v>
      </c>
      <c r="K225" s="7">
        <f>VLOOKUP(InputData[[#This Row],[PRODUCT ID]],MasterData[],6,)</f>
        <v>82.08</v>
      </c>
      <c r="L225" s="7">
        <f>InputData[[#This Row],[BUYING PRIZE]]*InputData[[#This Row],[QUANTITY]]</f>
        <v>684</v>
      </c>
      <c r="M225" s="7">
        <f>InputData[[#This Row],[SELLING PRICE]]*InputData[[#This Row],[QUANTITY]]*(1-InputData[[#This Row],[DISCOUNT %]])</f>
        <v>738.72</v>
      </c>
      <c r="N225">
        <f>DAY(InputData[[#This Row],[DATE]])</f>
        <v>25</v>
      </c>
      <c r="O225" t="str">
        <f>TEXT(InputData[[#This Row],[DATE]],"mmm")</f>
        <v>Oct</v>
      </c>
      <c r="P225">
        <f>YEAR(InputData[[#This Row],[DATE]])</f>
        <v>2021</v>
      </c>
    </row>
    <row r="226" spans="1:16" x14ac:dyDescent="0.3">
      <c r="A226" s="3">
        <v>44495</v>
      </c>
      <c r="B226" s="4" t="s">
        <v>14</v>
      </c>
      <c r="C226" s="5">
        <v>6</v>
      </c>
      <c r="D226" s="5" t="s">
        <v>105</v>
      </c>
      <c r="E226" s="5" t="s">
        <v>107</v>
      </c>
      <c r="F226" s="6">
        <v>0</v>
      </c>
      <c r="G226" t="str">
        <f>VLOOKUP(InputData[[#This Row],[PRODUCT ID]],MasterData[],2,)</f>
        <v>Product04</v>
      </c>
      <c r="H226" t="str">
        <f>VLOOKUP(InputData[[#This Row],[PRODUCT ID]],MasterData[],3,)</f>
        <v>Category01</v>
      </c>
      <c r="I226" t="str">
        <f>VLOOKUP(InputData[[#This Row],[PRODUCT ID]],MasterData[],4,)</f>
        <v>Lt</v>
      </c>
      <c r="J226" s="7">
        <f>VLOOKUP(InputData[[#This Row],[PRODUCT ID]],MasterData[],5,)</f>
        <v>44</v>
      </c>
      <c r="K226" s="7">
        <f>VLOOKUP(InputData[[#This Row],[PRODUCT ID]],MasterData[],6,)</f>
        <v>48.84</v>
      </c>
      <c r="L226" s="7">
        <f>InputData[[#This Row],[BUYING PRIZE]]*InputData[[#This Row],[QUANTITY]]</f>
        <v>264</v>
      </c>
      <c r="M226" s="7">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3">
      <c r="A227" s="3">
        <v>44497</v>
      </c>
      <c r="B227" s="4" t="s">
        <v>22</v>
      </c>
      <c r="C227" s="5">
        <v>1</v>
      </c>
      <c r="D227" s="5" t="s">
        <v>108</v>
      </c>
      <c r="E227" s="5" t="s">
        <v>107</v>
      </c>
      <c r="F227" s="6">
        <v>0</v>
      </c>
      <c r="G227" t="str">
        <f>VLOOKUP(InputData[[#This Row],[PRODUCT ID]],MasterData[],2,)</f>
        <v>Product08</v>
      </c>
      <c r="H227" t="str">
        <f>VLOOKUP(InputData[[#This Row],[PRODUCT ID]],MasterData[],3,)</f>
        <v>Category01</v>
      </c>
      <c r="I227" t="str">
        <f>VLOOKUP(InputData[[#This Row],[PRODUCT ID]],MasterData[],4,)</f>
        <v>Kg</v>
      </c>
      <c r="J227" s="7">
        <f>VLOOKUP(InputData[[#This Row],[PRODUCT ID]],MasterData[],5,)</f>
        <v>83</v>
      </c>
      <c r="K227" s="7">
        <f>VLOOKUP(InputData[[#This Row],[PRODUCT ID]],MasterData[],6,)</f>
        <v>94.62</v>
      </c>
      <c r="L227" s="7">
        <f>InputData[[#This Row],[BUYING PRIZE]]*InputData[[#This Row],[QUANTITY]]</f>
        <v>83</v>
      </c>
      <c r="M227" s="7">
        <f>InputData[[#This Row],[SELLING PRICE]]*InputData[[#This Row],[QUANTITY]]*(1-InputData[[#This Row],[DISCOUNT %]])</f>
        <v>94.62</v>
      </c>
      <c r="N227">
        <f>DAY(InputData[[#This Row],[DATE]])</f>
        <v>28</v>
      </c>
      <c r="O227" t="str">
        <f>TEXT(InputData[[#This Row],[DATE]],"mmm")</f>
        <v>Oct</v>
      </c>
      <c r="P227">
        <f>YEAR(InputData[[#This Row],[DATE]])</f>
        <v>2021</v>
      </c>
    </row>
    <row r="228" spans="1:16" x14ac:dyDescent="0.3">
      <c r="A228" s="3">
        <v>44498</v>
      </c>
      <c r="B228" s="4" t="s">
        <v>86</v>
      </c>
      <c r="C228" s="5">
        <v>14</v>
      </c>
      <c r="D228" s="5" t="s">
        <v>106</v>
      </c>
      <c r="E228" s="5" t="s">
        <v>106</v>
      </c>
      <c r="F228" s="6">
        <v>0</v>
      </c>
      <c r="G228" t="str">
        <f>VLOOKUP(InputData[[#This Row],[PRODUCT ID]],MasterData[],2,)</f>
        <v>Product38</v>
      </c>
      <c r="H228" t="str">
        <f>VLOOKUP(InputData[[#This Row],[PRODUCT ID]],MasterData[],3,)</f>
        <v>Category05</v>
      </c>
      <c r="I228" t="str">
        <f>VLOOKUP(InputData[[#This Row],[PRODUCT ID]],MasterData[],4,)</f>
        <v>Kg</v>
      </c>
      <c r="J228" s="7">
        <f>VLOOKUP(InputData[[#This Row],[PRODUCT ID]],MasterData[],5,)</f>
        <v>72</v>
      </c>
      <c r="K228" s="7">
        <f>VLOOKUP(InputData[[#This Row],[PRODUCT ID]],MasterData[],6,)</f>
        <v>79.92</v>
      </c>
      <c r="L228" s="7">
        <f>InputData[[#This Row],[BUYING PRIZE]]*InputData[[#This Row],[QUANTITY]]</f>
        <v>1008</v>
      </c>
      <c r="M228" s="7">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3">
      <c r="A229" s="3">
        <v>44500</v>
      </c>
      <c r="B229" s="4" t="s">
        <v>50</v>
      </c>
      <c r="C229" s="5">
        <v>6</v>
      </c>
      <c r="D229" s="5" t="s">
        <v>106</v>
      </c>
      <c r="E229" s="5" t="s">
        <v>107</v>
      </c>
      <c r="F229" s="6">
        <v>0</v>
      </c>
      <c r="G229" t="str">
        <f>VLOOKUP(InputData[[#This Row],[PRODUCT ID]],MasterData[],2,)</f>
        <v>Product21</v>
      </c>
      <c r="H229" t="str">
        <f>VLOOKUP(InputData[[#This Row],[PRODUCT ID]],MasterData[],3,)</f>
        <v>Category03</v>
      </c>
      <c r="I229" t="str">
        <f>VLOOKUP(InputData[[#This Row],[PRODUCT ID]],MasterData[],4,)</f>
        <v>Ft</v>
      </c>
      <c r="J229" s="7">
        <f>VLOOKUP(InputData[[#This Row],[PRODUCT ID]],MasterData[],5,)</f>
        <v>126</v>
      </c>
      <c r="K229" s="7">
        <f>VLOOKUP(InputData[[#This Row],[PRODUCT ID]],MasterData[],6,)</f>
        <v>162.54</v>
      </c>
      <c r="L229" s="7">
        <f>InputData[[#This Row],[BUYING PRIZE]]*InputData[[#This Row],[QUANTITY]]</f>
        <v>756</v>
      </c>
      <c r="M229" s="7">
        <f>InputData[[#This Row],[SELLING PRICE]]*InputData[[#This Row],[QUANTITY]]*(1-InputData[[#This Row],[DISCOUNT %]])</f>
        <v>975.24</v>
      </c>
      <c r="N229">
        <f>DAY(InputData[[#This Row],[DATE]])</f>
        <v>31</v>
      </c>
      <c r="O229" t="str">
        <f>TEXT(InputData[[#This Row],[DATE]],"mmm")</f>
        <v>Oct</v>
      </c>
      <c r="P229">
        <f>YEAR(InputData[[#This Row],[DATE]])</f>
        <v>2021</v>
      </c>
    </row>
    <row r="230" spans="1:16" x14ac:dyDescent="0.3">
      <c r="A230" s="3">
        <v>44503</v>
      </c>
      <c r="B230" s="4" t="s">
        <v>33</v>
      </c>
      <c r="C230" s="5">
        <v>12</v>
      </c>
      <c r="D230" s="5" t="s">
        <v>108</v>
      </c>
      <c r="E230" s="5" t="s">
        <v>107</v>
      </c>
      <c r="F230" s="6">
        <v>0</v>
      </c>
      <c r="G230" t="str">
        <f>VLOOKUP(InputData[[#This Row],[PRODUCT ID]],MasterData[],2,)</f>
        <v>Product13</v>
      </c>
      <c r="H230" t="str">
        <f>VLOOKUP(InputData[[#This Row],[PRODUCT ID]],MasterData[],3,)</f>
        <v>Category02</v>
      </c>
      <c r="I230" t="str">
        <f>VLOOKUP(InputData[[#This Row],[PRODUCT ID]],MasterData[],4,)</f>
        <v>Kg</v>
      </c>
      <c r="J230" s="7">
        <f>VLOOKUP(InputData[[#This Row],[PRODUCT ID]],MasterData[],5,)</f>
        <v>112</v>
      </c>
      <c r="K230" s="7">
        <f>VLOOKUP(InputData[[#This Row],[PRODUCT ID]],MasterData[],6,)</f>
        <v>122.08</v>
      </c>
      <c r="L230" s="7">
        <f>InputData[[#This Row],[BUYING PRIZE]]*InputData[[#This Row],[QUANTITY]]</f>
        <v>1344</v>
      </c>
      <c r="M230" s="7">
        <f>InputData[[#This Row],[SELLING PRICE]]*InputData[[#This Row],[QUANTITY]]*(1-InputData[[#This Row],[DISCOUNT %]])</f>
        <v>1464.96</v>
      </c>
      <c r="N230">
        <f>DAY(InputData[[#This Row],[DATE]])</f>
        <v>3</v>
      </c>
      <c r="O230" t="str">
        <f>TEXT(InputData[[#This Row],[DATE]],"mmm")</f>
        <v>Nov</v>
      </c>
      <c r="P230">
        <f>YEAR(InputData[[#This Row],[DATE]])</f>
        <v>2021</v>
      </c>
    </row>
    <row r="231" spans="1:16" x14ac:dyDescent="0.3">
      <c r="A231" s="3">
        <v>44506</v>
      </c>
      <c r="B231" s="4" t="s">
        <v>81</v>
      </c>
      <c r="C231" s="5">
        <v>10</v>
      </c>
      <c r="D231" s="5" t="s">
        <v>108</v>
      </c>
      <c r="E231" s="5" t="s">
        <v>106</v>
      </c>
      <c r="F231" s="6">
        <v>0</v>
      </c>
      <c r="G231" t="str">
        <f>VLOOKUP(InputData[[#This Row],[PRODUCT ID]],MasterData[],2,)</f>
        <v>Product36</v>
      </c>
      <c r="H231" t="str">
        <f>VLOOKUP(InputData[[#This Row],[PRODUCT ID]],MasterData[],3,)</f>
        <v>Category04</v>
      </c>
      <c r="I231" t="str">
        <f>VLOOKUP(InputData[[#This Row],[PRODUCT ID]],MasterData[],4,)</f>
        <v>Kg</v>
      </c>
      <c r="J231" s="7">
        <f>VLOOKUP(InputData[[#This Row],[PRODUCT ID]],MasterData[],5,)</f>
        <v>90</v>
      </c>
      <c r="K231" s="7">
        <f>VLOOKUP(InputData[[#This Row],[PRODUCT ID]],MasterData[],6,)</f>
        <v>96.3</v>
      </c>
      <c r="L231" s="7">
        <f>InputData[[#This Row],[BUYING PRIZE]]*InputData[[#This Row],[QUANTITY]]</f>
        <v>900</v>
      </c>
      <c r="M231" s="7">
        <f>InputData[[#This Row],[SELLING PRICE]]*InputData[[#This Row],[QUANTITY]]*(1-InputData[[#This Row],[DISCOUNT %]])</f>
        <v>963</v>
      </c>
      <c r="N231">
        <f>DAY(InputData[[#This Row],[DATE]])</f>
        <v>6</v>
      </c>
      <c r="O231" t="str">
        <f>TEXT(InputData[[#This Row],[DATE]],"mmm")</f>
        <v>Nov</v>
      </c>
      <c r="P231">
        <f>YEAR(InputData[[#This Row],[DATE]])</f>
        <v>2021</v>
      </c>
    </row>
    <row r="232" spans="1:16" x14ac:dyDescent="0.3">
      <c r="A232" s="3">
        <v>44508</v>
      </c>
      <c r="B232" s="4" t="s">
        <v>20</v>
      </c>
      <c r="C232" s="5">
        <v>15</v>
      </c>
      <c r="D232" s="5" t="s">
        <v>108</v>
      </c>
      <c r="E232" s="5" t="s">
        <v>106</v>
      </c>
      <c r="F232" s="6">
        <v>0</v>
      </c>
      <c r="G232" t="str">
        <f>VLOOKUP(InputData[[#This Row],[PRODUCT ID]],MasterData[],2,)</f>
        <v>Product07</v>
      </c>
      <c r="H232" t="str">
        <f>VLOOKUP(InputData[[#This Row],[PRODUCT ID]],MasterData[],3,)</f>
        <v>Category01</v>
      </c>
      <c r="I232" t="str">
        <f>VLOOKUP(InputData[[#This Row],[PRODUCT ID]],MasterData[],4,)</f>
        <v>Lt</v>
      </c>
      <c r="J232" s="7">
        <f>VLOOKUP(InputData[[#This Row],[PRODUCT ID]],MasterData[],5,)</f>
        <v>43</v>
      </c>
      <c r="K232" s="7">
        <f>VLOOKUP(InputData[[#This Row],[PRODUCT ID]],MasterData[],6,)</f>
        <v>47.730000000000004</v>
      </c>
      <c r="L232" s="7">
        <f>InputData[[#This Row],[BUYING PRIZE]]*InputData[[#This Row],[QUANTITY]]</f>
        <v>645</v>
      </c>
      <c r="M232" s="7">
        <f>InputData[[#This Row],[SELLING PRICE]]*InputData[[#This Row],[QUANTITY]]*(1-InputData[[#This Row],[DISCOUNT %]])</f>
        <v>715.95</v>
      </c>
      <c r="N232">
        <f>DAY(InputData[[#This Row],[DATE]])</f>
        <v>8</v>
      </c>
      <c r="O232" t="str">
        <f>TEXT(InputData[[#This Row],[DATE]],"mmm")</f>
        <v>Nov</v>
      </c>
      <c r="P232">
        <f>YEAR(InputData[[#This Row],[DATE]])</f>
        <v>2021</v>
      </c>
    </row>
    <row r="233" spans="1:16" x14ac:dyDescent="0.3">
      <c r="A233" s="3">
        <v>44510</v>
      </c>
      <c r="B233" s="4" t="s">
        <v>94</v>
      </c>
      <c r="C233" s="5">
        <v>6</v>
      </c>
      <c r="D233" s="5" t="s">
        <v>106</v>
      </c>
      <c r="E233" s="5" t="s">
        <v>107</v>
      </c>
      <c r="F233" s="6">
        <v>0</v>
      </c>
      <c r="G233" t="str">
        <f>VLOOKUP(InputData[[#This Row],[PRODUCT ID]],MasterData[],2,)</f>
        <v>Product42</v>
      </c>
      <c r="H233" t="str">
        <f>VLOOKUP(InputData[[#This Row],[PRODUCT ID]],MasterData[],3,)</f>
        <v>Category05</v>
      </c>
      <c r="I233" t="str">
        <f>VLOOKUP(InputData[[#This Row],[PRODUCT ID]],MasterData[],4,)</f>
        <v>Ft</v>
      </c>
      <c r="J233" s="7">
        <f>VLOOKUP(InputData[[#This Row],[PRODUCT ID]],MasterData[],5,)</f>
        <v>120</v>
      </c>
      <c r="K233" s="7">
        <f>VLOOKUP(InputData[[#This Row],[PRODUCT ID]],MasterData[],6,)</f>
        <v>162</v>
      </c>
      <c r="L233" s="7">
        <f>InputData[[#This Row],[BUYING PRIZE]]*InputData[[#This Row],[QUANTITY]]</f>
        <v>720</v>
      </c>
      <c r="M233" s="7">
        <f>InputData[[#This Row],[SELLING PRICE]]*InputData[[#This Row],[QUANTITY]]*(1-InputData[[#This Row],[DISCOUNT %]])</f>
        <v>972</v>
      </c>
      <c r="N233">
        <f>DAY(InputData[[#This Row],[DATE]])</f>
        <v>10</v>
      </c>
      <c r="O233" t="str">
        <f>TEXT(InputData[[#This Row],[DATE]],"mmm")</f>
        <v>Nov</v>
      </c>
      <c r="P233">
        <f>YEAR(InputData[[#This Row],[DATE]])</f>
        <v>2021</v>
      </c>
    </row>
    <row r="234" spans="1:16" x14ac:dyDescent="0.3">
      <c r="A234" s="3">
        <v>44511</v>
      </c>
      <c r="B234" s="4" t="s">
        <v>90</v>
      </c>
      <c r="C234" s="5">
        <v>12</v>
      </c>
      <c r="D234" s="5" t="s">
        <v>105</v>
      </c>
      <c r="E234" s="5" t="s">
        <v>106</v>
      </c>
      <c r="F234" s="6">
        <v>0</v>
      </c>
      <c r="G234" t="str">
        <f>VLOOKUP(InputData[[#This Row],[PRODUCT ID]],MasterData[],2,)</f>
        <v>Product40</v>
      </c>
      <c r="H234" t="str">
        <f>VLOOKUP(InputData[[#This Row],[PRODUCT ID]],MasterData[],3,)</f>
        <v>Category05</v>
      </c>
      <c r="I234" t="str">
        <f>VLOOKUP(InputData[[#This Row],[PRODUCT ID]],MasterData[],4,)</f>
        <v>Kg</v>
      </c>
      <c r="J234" s="7">
        <f>VLOOKUP(InputData[[#This Row],[PRODUCT ID]],MasterData[],5,)</f>
        <v>90</v>
      </c>
      <c r="K234" s="7">
        <f>VLOOKUP(InputData[[#This Row],[PRODUCT ID]],MasterData[],6,)</f>
        <v>115.2</v>
      </c>
      <c r="L234" s="7">
        <f>InputData[[#This Row],[BUYING PRIZE]]*InputData[[#This Row],[QUANTITY]]</f>
        <v>1080</v>
      </c>
      <c r="M234" s="7">
        <f>InputData[[#This Row],[SELLING PRICE]]*InputData[[#This Row],[QUANTITY]]*(1-InputData[[#This Row],[DISCOUNT %]])</f>
        <v>1382.4</v>
      </c>
      <c r="N234">
        <f>DAY(InputData[[#This Row],[DATE]])</f>
        <v>11</v>
      </c>
      <c r="O234" t="str">
        <f>TEXT(InputData[[#This Row],[DATE]],"mmm")</f>
        <v>Nov</v>
      </c>
      <c r="P234">
        <f>YEAR(InputData[[#This Row],[DATE]])</f>
        <v>2021</v>
      </c>
    </row>
    <row r="235" spans="1:16" x14ac:dyDescent="0.3">
      <c r="A235" s="3">
        <v>44512</v>
      </c>
      <c r="B235" s="4" t="s">
        <v>26</v>
      </c>
      <c r="C235" s="5">
        <v>3</v>
      </c>
      <c r="D235" s="5" t="s">
        <v>106</v>
      </c>
      <c r="E235" s="5" t="s">
        <v>107</v>
      </c>
      <c r="F235" s="6">
        <v>0</v>
      </c>
      <c r="G235" t="str">
        <f>VLOOKUP(InputData[[#This Row],[PRODUCT ID]],MasterData[],2,)</f>
        <v>Product10</v>
      </c>
      <c r="H235" t="str">
        <f>VLOOKUP(InputData[[#This Row],[PRODUCT ID]],MasterData[],3,)</f>
        <v>Category02</v>
      </c>
      <c r="I235" t="str">
        <f>VLOOKUP(InputData[[#This Row],[PRODUCT ID]],MasterData[],4,)</f>
        <v>Ft</v>
      </c>
      <c r="J235" s="7">
        <f>VLOOKUP(InputData[[#This Row],[PRODUCT ID]],MasterData[],5,)</f>
        <v>148</v>
      </c>
      <c r="K235" s="7">
        <f>VLOOKUP(InputData[[#This Row],[PRODUCT ID]],MasterData[],6,)</f>
        <v>164.28</v>
      </c>
      <c r="L235" s="7">
        <f>InputData[[#This Row],[BUYING PRIZE]]*InputData[[#This Row],[QUANTITY]]</f>
        <v>444</v>
      </c>
      <c r="M235" s="7">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3">
      <c r="A236" s="3">
        <v>44520</v>
      </c>
      <c r="B236" s="4" t="s">
        <v>77</v>
      </c>
      <c r="C236" s="5">
        <v>14</v>
      </c>
      <c r="D236" s="5" t="s">
        <v>106</v>
      </c>
      <c r="E236" s="5" t="s">
        <v>106</v>
      </c>
      <c r="F236" s="6">
        <v>0</v>
      </c>
      <c r="G236" t="str">
        <f>VLOOKUP(InputData[[#This Row],[PRODUCT ID]],MasterData[],2,)</f>
        <v>Product34</v>
      </c>
      <c r="H236" t="str">
        <f>VLOOKUP(InputData[[#This Row],[PRODUCT ID]],MasterData[],3,)</f>
        <v>Category04</v>
      </c>
      <c r="I236" t="str">
        <f>VLOOKUP(InputData[[#This Row],[PRODUCT ID]],MasterData[],4,)</f>
        <v>Lt</v>
      </c>
      <c r="J236" s="7">
        <f>VLOOKUP(InputData[[#This Row],[PRODUCT ID]],MasterData[],5,)</f>
        <v>55</v>
      </c>
      <c r="K236" s="7">
        <f>VLOOKUP(InputData[[#This Row],[PRODUCT ID]],MasterData[],6,)</f>
        <v>58.3</v>
      </c>
      <c r="L236" s="7">
        <f>InputData[[#This Row],[BUYING PRIZE]]*InputData[[#This Row],[QUANTITY]]</f>
        <v>770</v>
      </c>
      <c r="M236" s="7">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3">
      <c r="A237" s="3">
        <v>44520</v>
      </c>
      <c r="B237" s="4" t="s">
        <v>22</v>
      </c>
      <c r="C237" s="5">
        <v>11</v>
      </c>
      <c r="D237" s="5" t="s">
        <v>106</v>
      </c>
      <c r="E237" s="5" t="s">
        <v>107</v>
      </c>
      <c r="F237" s="6">
        <v>0</v>
      </c>
      <c r="G237" t="str">
        <f>VLOOKUP(InputData[[#This Row],[PRODUCT ID]],MasterData[],2,)</f>
        <v>Product08</v>
      </c>
      <c r="H237" t="str">
        <f>VLOOKUP(InputData[[#This Row],[PRODUCT ID]],MasterData[],3,)</f>
        <v>Category01</v>
      </c>
      <c r="I237" t="str">
        <f>VLOOKUP(InputData[[#This Row],[PRODUCT ID]],MasterData[],4,)</f>
        <v>Kg</v>
      </c>
      <c r="J237" s="7">
        <f>VLOOKUP(InputData[[#This Row],[PRODUCT ID]],MasterData[],5,)</f>
        <v>83</v>
      </c>
      <c r="K237" s="7">
        <f>VLOOKUP(InputData[[#This Row],[PRODUCT ID]],MasterData[],6,)</f>
        <v>94.62</v>
      </c>
      <c r="L237" s="7">
        <f>InputData[[#This Row],[BUYING PRIZE]]*InputData[[#This Row],[QUANTITY]]</f>
        <v>913</v>
      </c>
      <c r="M237" s="7">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3">
      <c r="A238" s="3">
        <v>44521</v>
      </c>
      <c r="B238" s="4" t="s">
        <v>35</v>
      </c>
      <c r="C238" s="5">
        <v>1</v>
      </c>
      <c r="D238" s="5" t="s">
        <v>105</v>
      </c>
      <c r="E238" s="5" t="s">
        <v>106</v>
      </c>
      <c r="F238" s="6">
        <v>0</v>
      </c>
      <c r="G238" t="str">
        <f>VLOOKUP(InputData[[#This Row],[PRODUCT ID]],MasterData[],2,)</f>
        <v>Product14</v>
      </c>
      <c r="H238" t="str">
        <f>VLOOKUP(InputData[[#This Row],[PRODUCT ID]],MasterData[],3,)</f>
        <v>Category02</v>
      </c>
      <c r="I238" t="str">
        <f>VLOOKUP(InputData[[#This Row],[PRODUCT ID]],MasterData[],4,)</f>
        <v>Kg</v>
      </c>
      <c r="J238" s="7">
        <f>VLOOKUP(InputData[[#This Row],[PRODUCT ID]],MasterData[],5,)</f>
        <v>112</v>
      </c>
      <c r="K238" s="7">
        <f>VLOOKUP(InputData[[#This Row],[PRODUCT ID]],MasterData[],6,)</f>
        <v>146.72</v>
      </c>
      <c r="L238" s="7">
        <f>InputData[[#This Row],[BUYING PRIZE]]*InputData[[#This Row],[QUANTITY]]</f>
        <v>112</v>
      </c>
      <c r="M238" s="7">
        <f>InputData[[#This Row],[SELLING PRICE]]*InputData[[#This Row],[QUANTITY]]*(1-InputData[[#This Row],[DISCOUNT %]])</f>
        <v>146.72</v>
      </c>
      <c r="N238">
        <f>DAY(InputData[[#This Row],[DATE]])</f>
        <v>21</v>
      </c>
      <c r="O238" t="str">
        <f>TEXT(InputData[[#This Row],[DATE]],"mmm")</f>
        <v>Nov</v>
      </c>
      <c r="P238">
        <f>YEAR(InputData[[#This Row],[DATE]])</f>
        <v>2021</v>
      </c>
    </row>
    <row r="239" spans="1:16" x14ac:dyDescent="0.3">
      <c r="A239" s="3">
        <v>44521</v>
      </c>
      <c r="B239" s="4" t="s">
        <v>18</v>
      </c>
      <c r="C239" s="5">
        <v>1</v>
      </c>
      <c r="D239" s="5" t="s">
        <v>106</v>
      </c>
      <c r="E239" s="5" t="s">
        <v>107</v>
      </c>
      <c r="F239" s="6">
        <v>0</v>
      </c>
      <c r="G239" t="str">
        <f>VLOOKUP(InputData[[#This Row],[PRODUCT ID]],MasterData[],2,)</f>
        <v>Product06</v>
      </c>
      <c r="H239" t="str">
        <f>VLOOKUP(InputData[[#This Row],[PRODUCT ID]],MasterData[],3,)</f>
        <v>Category01</v>
      </c>
      <c r="I239" t="str">
        <f>VLOOKUP(InputData[[#This Row],[PRODUCT ID]],MasterData[],4,)</f>
        <v>Kg</v>
      </c>
      <c r="J239" s="7">
        <f>VLOOKUP(InputData[[#This Row],[PRODUCT ID]],MasterData[],5,)</f>
        <v>75</v>
      </c>
      <c r="K239" s="7">
        <f>VLOOKUP(InputData[[#This Row],[PRODUCT ID]],MasterData[],6,)</f>
        <v>85.5</v>
      </c>
      <c r="L239" s="7">
        <f>InputData[[#This Row],[BUYING PRIZE]]*InputData[[#This Row],[QUANTITY]]</f>
        <v>75</v>
      </c>
      <c r="M239" s="7">
        <f>InputData[[#This Row],[SELLING PRICE]]*InputData[[#This Row],[QUANTITY]]*(1-InputData[[#This Row],[DISCOUNT %]])</f>
        <v>85.5</v>
      </c>
      <c r="N239">
        <f>DAY(InputData[[#This Row],[DATE]])</f>
        <v>21</v>
      </c>
      <c r="O239" t="str">
        <f>TEXT(InputData[[#This Row],[DATE]],"mmm")</f>
        <v>Nov</v>
      </c>
      <c r="P239">
        <f>YEAR(InputData[[#This Row],[DATE]])</f>
        <v>2021</v>
      </c>
    </row>
    <row r="240" spans="1:16" x14ac:dyDescent="0.3">
      <c r="A240" s="3">
        <v>44527</v>
      </c>
      <c r="B240" s="4" t="s">
        <v>31</v>
      </c>
      <c r="C240" s="5">
        <v>8</v>
      </c>
      <c r="D240" s="5" t="s">
        <v>106</v>
      </c>
      <c r="E240" s="5" t="s">
        <v>106</v>
      </c>
      <c r="F240" s="6">
        <v>0</v>
      </c>
      <c r="G240" t="str">
        <f>VLOOKUP(InputData[[#This Row],[PRODUCT ID]],MasterData[],2,)</f>
        <v>Product12</v>
      </c>
      <c r="H240" t="str">
        <f>VLOOKUP(InputData[[#This Row],[PRODUCT ID]],MasterData[],3,)</f>
        <v>Category02</v>
      </c>
      <c r="I240" t="str">
        <f>VLOOKUP(InputData[[#This Row],[PRODUCT ID]],MasterData[],4,)</f>
        <v>Kg</v>
      </c>
      <c r="J240" s="7">
        <f>VLOOKUP(InputData[[#This Row],[PRODUCT ID]],MasterData[],5,)</f>
        <v>73</v>
      </c>
      <c r="K240" s="7">
        <f>VLOOKUP(InputData[[#This Row],[PRODUCT ID]],MasterData[],6,)</f>
        <v>94.17</v>
      </c>
      <c r="L240" s="7">
        <f>InputData[[#This Row],[BUYING PRIZE]]*InputData[[#This Row],[QUANTITY]]</f>
        <v>584</v>
      </c>
      <c r="M240" s="7">
        <f>InputData[[#This Row],[SELLING PRICE]]*InputData[[#This Row],[QUANTITY]]*(1-InputData[[#This Row],[DISCOUNT %]])</f>
        <v>753.36</v>
      </c>
      <c r="N240">
        <f>DAY(InputData[[#This Row],[DATE]])</f>
        <v>27</v>
      </c>
      <c r="O240" t="str">
        <f>TEXT(InputData[[#This Row],[DATE]],"mmm")</f>
        <v>Nov</v>
      </c>
      <c r="P240">
        <f>YEAR(InputData[[#This Row],[DATE]])</f>
        <v>2021</v>
      </c>
    </row>
    <row r="241" spans="1:16" x14ac:dyDescent="0.3">
      <c r="A241" s="3">
        <v>44528</v>
      </c>
      <c r="B241" s="4" t="s">
        <v>90</v>
      </c>
      <c r="C241" s="5">
        <v>2</v>
      </c>
      <c r="D241" s="5" t="s">
        <v>108</v>
      </c>
      <c r="E241" s="5" t="s">
        <v>107</v>
      </c>
      <c r="F241" s="6">
        <v>0</v>
      </c>
      <c r="G241" t="str">
        <f>VLOOKUP(InputData[[#This Row],[PRODUCT ID]],MasterData[],2,)</f>
        <v>Product40</v>
      </c>
      <c r="H241" t="str">
        <f>VLOOKUP(InputData[[#This Row],[PRODUCT ID]],MasterData[],3,)</f>
        <v>Category05</v>
      </c>
      <c r="I241" t="str">
        <f>VLOOKUP(InputData[[#This Row],[PRODUCT ID]],MasterData[],4,)</f>
        <v>Kg</v>
      </c>
      <c r="J241" s="7">
        <f>VLOOKUP(InputData[[#This Row],[PRODUCT ID]],MasterData[],5,)</f>
        <v>90</v>
      </c>
      <c r="K241" s="7">
        <f>VLOOKUP(InputData[[#This Row],[PRODUCT ID]],MasterData[],6,)</f>
        <v>115.2</v>
      </c>
      <c r="L241" s="7">
        <f>InputData[[#This Row],[BUYING PRIZE]]*InputData[[#This Row],[QUANTITY]]</f>
        <v>180</v>
      </c>
      <c r="M241" s="7">
        <f>InputData[[#This Row],[SELLING PRICE]]*InputData[[#This Row],[QUANTITY]]*(1-InputData[[#This Row],[DISCOUNT %]])</f>
        <v>230.4</v>
      </c>
      <c r="N241">
        <f>DAY(InputData[[#This Row],[DATE]])</f>
        <v>28</v>
      </c>
      <c r="O241" t="str">
        <f>TEXT(InputData[[#This Row],[DATE]],"mmm")</f>
        <v>Nov</v>
      </c>
      <c r="P241">
        <f>YEAR(InputData[[#This Row],[DATE]])</f>
        <v>2021</v>
      </c>
    </row>
    <row r="242" spans="1:16" x14ac:dyDescent="0.3">
      <c r="A242" s="3">
        <v>44530</v>
      </c>
      <c r="B242" s="4" t="s">
        <v>88</v>
      </c>
      <c r="C242" s="5">
        <v>15</v>
      </c>
      <c r="D242" s="5" t="s">
        <v>108</v>
      </c>
      <c r="E242" s="5" t="s">
        <v>106</v>
      </c>
      <c r="F242" s="6">
        <v>0</v>
      </c>
      <c r="G242" t="str">
        <f>VLOOKUP(InputData[[#This Row],[PRODUCT ID]],MasterData[],2,)</f>
        <v>Product39</v>
      </c>
      <c r="H242" t="str">
        <f>VLOOKUP(InputData[[#This Row],[PRODUCT ID]],MasterData[],3,)</f>
        <v>Category05</v>
      </c>
      <c r="I242" t="str">
        <f>VLOOKUP(InputData[[#This Row],[PRODUCT ID]],MasterData[],4,)</f>
        <v>No.</v>
      </c>
      <c r="J242" s="7">
        <f>VLOOKUP(InputData[[#This Row],[PRODUCT ID]],MasterData[],5,)</f>
        <v>37</v>
      </c>
      <c r="K242" s="7">
        <f>VLOOKUP(InputData[[#This Row],[PRODUCT ID]],MasterData[],6,)</f>
        <v>42.55</v>
      </c>
      <c r="L242" s="7">
        <f>InputData[[#This Row],[BUYING PRIZE]]*InputData[[#This Row],[QUANTITY]]</f>
        <v>555</v>
      </c>
      <c r="M242" s="7">
        <f>InputData[[#This Row],[SELLING PRICE]]*InputData[[#This Row],[QUANTITY]]*(1-InputData[[#This Row],[DISCOUNT %]])</f>
        <v>638.25</v>
      </c>
      <c r="N242">
        <f>DAY(InputData[[#This Row],[DATE]])</f>
        <v>30</v>
      </c>
      <c r="O242" t="str">
        <f>TEXT(InputData[[#This Row],[DATE]],"mmm")</f>
        <v>Nov</v>
      </c>
      <c r="P242">
        <f>YEAR(InputData[[#This Row],[DATE]])</f>
        <v>2021</v>
      </c>
    </row>
    <row r="243" spans="1:16" x14ac:dyDescent="0.3">
      <c r="A243" s="3">
        <v>44532</v>
      </c>
      <c r="B243" s="4" t="s">
        <v>39</v>
      </c>
      <c r="C243" s="5">
        <v>10</v>
      </c>
      <c r="D243" s="5" t="s">
        <v>108</v>
      </c>
      <c r="E243" s="5" t="s">
        <v>107</v>
      </c>
      <c r="F243" s="6">
        <v>0</v>
      </c>
      <c r="G243" t="str">
        <f>VLOOKUP(InputData[[#This Row],[PRODUCT ID]],MasterData[],2,)</f>
        <v>Product16</v>
      </c>
      <c r="H243" t="str">
        <f>VLOOKUP(InputData[[#This Row],[PRODUCT ID]],MasterData[],3,)</f>
        <v>Category02</v>
      </c>
      <c r="I243" t="str">
        <f>VLOOKUP(InputData[[#This Row],[PRODUCT ID]],MasterData[],4,)</f>
        <v>No.</v>
      </c>
      <c r="J243" s="7">
        <f>VLOOKUP(InputData[[#This Row],[PRODUCT ID]],MasterData[],5,)</f>
        <v>13</v>
      </c>
      <c r="K243" s="7">
        <f>VLOOKUP(InputData[[#This Row],[PRODUCT ID]],MasterData[],6,)</f>
        <v>16.64</v>
      </c>
      <c r="L243" s="7">
        <f>InputData[[#This Row],[BUYING PRIZE]]*InputData[[#This Row],[QUANTITY]]</f>
        <v>130</v>
      </c>
      <c r="M243" s="7">
        <f>InputData[[#This Row],[SELLING PRICE]]*InputData[[#This Row],[QUANTITY]]*(1-InputData[[#This Row],[DISCOUNT %]])</f>
        <v>166.4</v>
      </c>
      <c r="N243">
        <f>DAY(InputData[[#This Row],[DATE]])</f>
        <v>2</v>
      </c>
      <c r="O243" t="str">
        <f>TEXT(InputData[[#This Row],[DATE]],"mmm")</f>
        <v>Dec</v>
      </c>
      <c r="P243">
        <f>YEAR(InputData[[#This Row],[DATE]])</f>
        <v>2021</v>
      </c>
    </row>
    <row r="244" spans="1:16" x14ac:dyDescent="0.3">
      <c r="A244" s="3">
        <v>44533</v>
      </c>
      <c r="B244" s="4" t="s">
        <v>77</v>
      </c>
      <c r="C244" s="5">
        <v>2</v>
      </c>
      <c r="D244" s="5" t="s">
        <v>106</v>
      </c>
      <c r="E244" s="5" t="s">
        <v>107</v>
      </c>
      <c r="F244" s="6">
        <v>0</v>
      </c>
      <c r="G244" t="str">
        <f>VLOOKUP(InputData[[#This Row],[PRODUCT ID]],MasterData[],2,)</f>
        <v>Product34</v>
      </c>
      <c r="H244" t="str">
        <f>VLOOKUP(InputData[[#This Row],[PRODUCT ID]],MasterData[],3,)</f>
        <v>Category04</v>
      </c>
      <c r="I244" t="str">
        <f>VLOOKUP(InputData[[#This Row],[PRODUCT ID]],MasterData[],4,)</f>
        <v>Lt</v>
      </c>
      <c r="J244" s="7">
        <f>VLOOKUP(InputData[[#This Row],[PRODUCT ID]],MasterData[],5,)</f>
        <v>55</v>
      </c>
      <c r="K244" s="7">
        <f>VLOOKUP(InputData[[#This Row],[PRODUCT ID]],MasterData[],6,)</f>
        <v>58.3</v>
      </c>
      <c r="L244" s="7">
        <f>InputData[[#This Row],[BUYING PRIZE]]*InputData[[#This Row],[QUANTITY]]</f>
        <v>110</v>
      </c>
      <c r="M244" s="7">
        <f>InputData[[#This Row],[SELLING PRICE]]*InputData[[#This Row],[QUANTITY]]*(1-InputData[[#This Row],[DISCOUNT %]])</f>
        <v>116.6</v>
      </c>
      <c r="N244">
        <f>DAY(InputData[[#This Row],[DATE]])</f>
        <v>3</v>
      </c>
      <c r="O244" t="str">
        <f>TEXT(InputData[[#This Row],[DATE]],"mmm")</f>
        <v>Dec</v>
      </c>
      <c r="P244">
        <f>YEAR(InputData[[#This Row],[DATE]])</f>
        <v>2021</v>
      </c>
    </row>
    <row r="245" spans="1:16" x14ac:dyDescent="0.3">
      <c r="A245" s="3">
        <v>44533</v>
      </c>
      <c r="B245" s="4" t="s">
        <v>45</v>
      </c>
      <c r="C245" s="5">
        <v>8</v>
      </c>
      <c r="D245" s="5" t="s">
        <v>106</v>
      </c>
      <c r="E245" s="5" t="s">
        <v>106</v>
      </c>
      <c r="F245" s="6">
        <v>0</v>
      </c>
      <c r="G245" t="str">
        <f>VLOOKUP(InputData[[#This Row],[PRODUCT ID]],MasterData[],2,)</f>
        <v>Product19</v>
      </c>
      <c r="H245" t="str">
        <f>VLOOKUP(InputData[[#This Row],[PRODUCT ID]],MasterData[],3,)</f>
        <v>Category02</v>
      </c>
      <c r="I245" t="str">
        <f>VLOOKUP(InputData[[#This Row],[PRODUCT ID]],MasterData[],4,)</f>
        <v>Ft</v>
      </c>
      <c r="J245" s="7">
        <f>VLOOKUP(InputData[[#This Row],[PRODUCT ID]],MasterData[],5,)</f>
        <v>150</v>
      </c>
      <c r="K245" s="7">
        <f>VLOOKUP(InputData[[#This Row],[PRODUCT ID]],MasterData[],6,)</f>
        <v>210</v>
      </c>
      <c r="L245" s="7">
        <f>InputData[[#This Row],[BUYING PRIZE]]*InputData[[#This Row],[QUANTITY]]</f>
        <v>1200</v>
      </c>
      <c r="M245" s="7">
        <f>InputData[[#This Row],[SELLING PRICE]]*InputData[[#This Row],[QUANTITY]]*(1-InputData[[#This Row],[DISCOUNT %]])</f>
        <v>1680</v>
      </c>
      <c r="N245">
        <f>DAY(InputData[[#This Row],[DATE]])</f>
        <v>3</v>
      </c>
      <c r="O245" t="str">
        <f>TEXT(InputData[[#This Row],[DATE]],"mmm")</f>
        <v>Dec</v>
      </c>
      <c r="P245">
        <f>YEAR(InputData[[#This Row],[DATE]])</f>
        <v>2021</v>
      </c>
    </row>
    <row r="246" spans="1:16" x14ac:dyDescent="0.3">
      <c r="A246" s="3">
        <v>44535</v>
      </c>
      <c r="B246" s="4" t="s">
        <v>14</v>
      </c>
      <c r="C246" s="5">
        <v>15</v>
      </c>
      <c r="D246" s="5" t="s">
        <v>108</v>
      </c>
      <c r="E246" s="5" t="s">
        <v>107</v>
      </c>
      <c r="F246" s="6">
        <v>0</v>
      </c>
      <c r="G246" t="str">
        <f>VLOOKUP(InputData[[#This Row],[PRODUCT ID]],MasterData[],2,)</f>
        <v>Product04</v>
      </c>
      <c r="H246" t="str">
        <f>VLOOKUP(InputData[[#This Row],[PRODUCT ID]],MasterData[],3,)</f>
        <v>Category01</v>
      </c>
      <c r="I246" t="str">
        <f>VLOOKUP(InputData[[#This Row],[PRODUCT ID]],MasterData[],4,)</f>
        <v>Lt</v>
      </c>
      <c r="J246" s="7">
        <f>VLOOKUP(InputData[[#This Row],[PRODUCT ID]],MasterData[],5,)</f>
        <v>44</v>
      </c>
      <c r="K246" s="7">
        <f>VLOOKUP(InputData[[#This Row],[PRODUCT ID]],MasterData[],6,)</f>
        <v>48.84</v>
      </c>
      <c r="L246" s="7">
        <f>InputData[[#This Row],[BUYING PRIZE]]*InputData[[#This Row],[QUANTITY]]</f>
        <v>660</v>
      </c>
      <c r="M246" s="7">
        <f>InputData[[#This Row],[SELLING PRICE]]*InputData[[#This Row],[QUANTITY]]*(1-InputData[[#This Row],[DISCOUNT %]])</f>
        <v>732.6</v>
      </c>
      <c r="N246">
        <f>DAY(InputData[[#This Row],[DATE]])</f>
        <v>5</v>
      </c>
      <c r="O246" t="str">
        <f>TEXT(InputData[[#This Row],[DATE]],"mmm")</f>
        <v>Dec</v>
      </c>
      <c r="P246">
        <f>YEAR(InputData[[#This Row],[DATE]])</f>
        <v>2021</v>
      </c>
    </row>
    <row r="247" spans="1:16" x14ac:dyDescent="0.3">
      <c r="A247" s="3">
        <v>44535</v>
      </c>
      <c r="B247" s="4" t="s">
        <v>26</v>
      </c>
      <c r="C247" s="5">
        <v>1</v>
      </c>
      <c r="D247" s="5" t="s">
        <v>108</v>
      </c>
      <c r="E247" s="5" t="s">
        <v>106</v>
      </c>
      <c r="F247" s="6">
        <v>0</v>
      </c>
      <c r="G247" t="str">
        <f>VLOOKUP(InputData[[#This Row],[PRODUCT ID]],MasterData[],2,)</f>
        <v>Product10</v>
      </c>
      <c r="H247" t="str">
        <f>VLOOKUP(InputData[[#This Row],[PRODUCT ID]],MasterData[],3,)</f>
        <v>Category02</v>
      </c>
      <c r="I247" t="str">
        <f>VLOOKUP(InputData[[#This Row],[PRODUCT ID]],MasterData[],4,)</f>
        <v>Ft</v>
      </c>
      <c r="J247" s="7">
        <f>VLOOKUP(InputData[[#This Row],[PRODUCT ID]],MasterData[],5,)</f>
        <v>148</v>
      </c>
      <c r="K247" s="7">
        <f>VLOOKUP(InputData[[#This Row],[PRODUCT ID]],MasterData[],6,)</f>
        <v>164.28</v>
      </c>
      <c r="L247" s="7">
        <f>InputData[[#This Row],[BUYING PRIZE]]*InputData[[#This Row],[QUANTITY]]</f>
        <v>148</v>
      </c>
      <c r="M247" s="7">
        <f>InputData[[#This Row],[SELLING PRICE]]*InputData[[#This Row],[QUANTITY]]*(1-InputData[[#This Row],[DISCOUNT %]])</f>
        <v>164.28</v>
      </c>
      <c r="N247">
        <f>DAY(InputData[[#This Row],[DATE]])</f>
        <v>5</v>
      </c>
      <c r="O247" t="str">
        <f>TEXT(InputData[[#This Row],[DATE]],"mmm")</f>
        <v>Dec</v>
      </c>
      <c r="P247">
        <f>YEAR(InputData[[#This Row],[DATE]])</f>
        <v>2021</v>
      </c>
    </row>
    <row r="248" spans="1:16" x14ac:dyDescent="0.3">
      <c r="A248" s="3">
        <v>44537</v>
      </c>
      <c r="B248" s="4" t="s">
        <v>33</v>
      </c>
      <c r="C248" s="5">
        <v>8</v>
      </c>
      <c r="D248" s="5" t="s">
        <v>108</v>
      </c>
      <c r="E248" s="5" t="s">
        <v>106</v>
      </c>
      <c r="F248" s="6">
        <v>0</v>
      </c>
      <c r="G248" t="str">
        <f>VLOOKUP(InputData[[#This Row],[PRODUCT ID]],MasterData[],2,)</f>
        <v>Product13</v>
      </c>
      <c r="H248" t="str">
        <f>VLOOKUP(InputData[[#This Row],[PRODUCT ID]],MasterData[],3,)</f>
        <v>Category02</v>
      </c>
      <c r="I248" t="str">
        <f>VLOOKUP(InputData[[#This Row],[PRODUCT ID]],MasterData[],4,)</f>
        <v>Kg</v>
      </c>
      <c r="J248" s="7">
        <f>VLOOKUP(InputData[[#This Row],[PRODUCT ID]],MasterData[],5,)</f>
        <v>112</v>
      </c>
      <c r="K248" s="7">
        <f>VLOOKUP(InputData[[#This Row],[PRODUCT ID]],MasterData[],6,)</f>
        <v>122.08</v>
      </c>
      <c r="L248" s="7">
        <f>InputData[[#This Row],[BUYING PRIZE]]*InputData[[#This Row],[QUANTITY]]</f>
        <v>896</v>
      </c>
      <c r="M248" s="7">
        <f>InputData[[#This Row],[SELLING PRICE]]*InputData[[#This Row],[QUANTITY]]*(1-InputData[[#This Row],[DISCOUNT %]])</f>
        <v>976.64</v>
      </c>
      <c r="N248">
        <f>DAY(InputData[[#This Row],[DATE]])</f>
        <v>7</v>
      </c>
      <c r="O248" t="str">
        <f>TEXT(InputData[[#This Row],[DATE]],"mmm")</f>
        <v>Dec</v>
      </c>
      <c r="P248">
        <f>YEAR(InputData[[#This Row],[DATE]])</f>
        <v>2021</v>
      </c>
    </row>
    <row r="249" spans="1:16" x14ac:dyDescent="0.3">
      <c r="A249" s="3">
        <v>44538</v>
      </c>
      <c r="B249" s="4" t="s">
        <v>98</v>
      </c>
      <c r="C249" s="5">
        <v>14</v>
      </c>
      <c r="D249" s="5" t="s">
        <v>108</v>
      </c>
      <c r="E249" s="5" t="s">
        <v>106</v>
      </c>
      <c r="F249" s="6">
        <v>0</v>
      </c>
      <c r="G249" t="str">
        <f>VLOOKUP(InputData[[#This Row],[PRODUCT ID]],MasterData[],2,)</f>
        <v>Product44</v>
      </c>
      <c r="H249" t="str">
        <f>VLOOKUP(InputData[[#This Row],[PRODUCT ID]],MasterData[],3,)</f>
        <v>Category05</v>
      </c>
      <c r="I249" t="str">
        <f>VLOOKUP(InputData[[#This Row],[PRODUCT ID]],MasterData[],4,)</f>
        <v>Kg</v>
      </c>
      <c r="J249" s="7">
        <f>VLOOKUP(InputData[[#This Row],[PRODUCT ID]],MasterData[],5,)</f>
        <v>76</v>
      </c>
      <c r="K249" s="7">
        <f>VLOOKUP(InputData[[#This Row],[PRODUCT ID]],MasterData[],6,)</f>
        <v>82.08</v>
      </c>
      <c r="L249" s="7">
        <f>InputData[[#This Row],[BUYING PRIZE]]*InputData[[#This Row],[QUANTITY]]</f>
        <v>1064</v>
      </c>
      <c r="M249" s="7">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3">
      <c r="A250" s="3">
        <v>44544</v>
      </c>
      <c r="B250" s="4" t="s">
        <v>94</v>
      </c>
      <c r="C250" s="5">
        <v>4</v>
      </c>
      <c r="D250" s="5" t="s">
        <v>108</v>
      </c>
      <c r="E250" s="5" t="s">
        <v>106</v>
      </c>
      <c r="F250" s="6">
        <v>0</v>
      </c>
      <c r="G250" t="str">
        <f>VLOOKUP(InputData[[#This Row],[PRODUCT ID]],MasterData[],2,)</f>
        <v>Product42</v>
      </c>
      <c r="H250" t="str">
        <f>VLOOKUP(InputData[[#This Row],[PRODUCT ID]],MasterData[],3,)</f>
        <v>Category05</v>
      </c>
      <c r="I250" t="str">
        <f>VLOOKUP(InputData[[#This Row],[PRODUCT ID]],MasterData[],4,)</f>
        <v>Ft</v>
      </c>
      <c r="J250" s="7">
        <f>VLOOKUP(InputData[[#This Row],[PRODUCT ID]],MasterData[],5,)</f>
        <v>120</v>
      </c>
      <c r="K250" s="7">
        <f>VLOOKUP(InputData[[#This Row],[PRODUCT ID]],MasterData[],6,)</f>
        <v>162</v>
      </c>
      <c r="L250" s="7">
        <f>InputData[[#This Row],[BUYING PRIZE]]*InputData[[#This Row],[QUANTITY]]</f>
        <v>480</v>
      </c>
      <c r="M250" s="7">
        <f>InputData[[#This Row],[SELLING PRICE]]*InputData[[#This Row],[QUANTITY]]*(1-InputData[[#This Row],[DISCOUNT %]])</f>
        <v>648</v>
      </c>
      <c r="N250">
        <f>DAY(InputData[[#This Row],[DATE]])</f>
        <v>14</v>
      </c>
      <c r="O250" t="str">
        <f>TEXT(InputData[[#This Row],[DATE]],"mmm")</f>
        <v>Dec</v>
      </c>
      <c r="P250">
        <f>YEAR(InputData[[#This Row],[DATE]])</f>
        <v>2021</v>
      </c>
    </row>
    <row r="251" spans="1:16" x14ac:dyDescent="0.3">
      <c r="A251" s="3">
        <v>44548</v>
      </c>
      <c r="B251" s="4" t="s">
        <v>12</v>
      </c>
      <c r="C251" s="5">
        <v>2</v>
      </c>
      <c r="D251" s="5" t="s">
        <v>108</v>
      </c>
      <c r="E251" s="5" t="s">
        <v>107</v>
      </c>
      <c r="F251" s="6">
        <v>0</v>
      </c>
      <c r="G251" t="str">
        <f>VLOOKUP(InputData[[#This Row],[PRODUCT ID]],MasterData[],2,)</f>
        <v>Product03</v>
      </c>
      <c r="H251" t="str">
        <f>VLOOKUP(InputData[[#This Row],[PRODUCT ID]],MasterData[],3,)</f>
        <v>Category01</v>
      </c>
      <c r="I251" t="str">
        <f>VLOOKUP(InputData[[#This Row],[PRODUCT ID]],MasterData[],4,)</f>
        <v>Kg</v>
      </c>
      <c r="J251" s="7">
        <f>VLOOKUP(InputData[[#This Row],[PRODUCT ID]],MasterData[],5,)</f>
        <v>71</v>
      </c>
      <c r="K251" s="7">
        <f>VLOOKUP(InputData[[#This Row],[PRODUCT ID]],MasterData[],6,)</f>
        <v>80.94</v>
      </c>
      <c r="L251" s="7">
        <f>InputData[[#This Row],[BUYING PRIZE]]*InputData[[#This Row],[QUANTITY]]</f>
        <v>142</v>
      </c>
      <c r="M251" s="7">
        <f>InputData[[#This Row],[SELLING PRICE]]*InputData[[#This Row],[QUANTITY]]*(1-InputData[[#This Row],[DISCOUNT %]])</f>
        <v>161.88</v>
      </c>
      <c r="N251">
        <f>DAY(InputData[[#This Row],[DATE]])</f>
        <v>18</v>
      </c>
      <c r="O251" t="str">
        <f>TEXT(InputData[[#This Row],[DATE]],"mmm")</f>
        <v>Dec</v>
      </c>
      <c r="P251">
        <f>YEAR(InputData[[#This Row],[DATE]])</f>
        <v>2021</v>
      </c>
    </row>
    <row r="252" spans="1:16" x14ac:dyDescent="0.3">
      <c r="A252" s="3">
        <v>44548</v>
      </c>
      <c r="B252" s="4" t="s">
        <v>52</v>
      </c>
      <c r="C252" s="5">
        <v>8</v>
      </c>
      <c r="D252" s="5" t="s">
        <v>106</v>
      </c>
      <c r="E252" s="5" t="s">
        <v>107</v>
      </c>
      <c r="F252" s="6">
        <v>0</v>
      </c>
      <c r="G252" t="str">
        <f>VLOOKUP(InputData[[#This Row],[PRODUCT ID]],MasterData[],2,)</f>
        <v>Product22</v>
      </c>
      <c r="H252" t="str">
        <f>VLOOKUP(InputData[[#This Row],[PRODUCT ID]],MasterData[],3,)</f>
        <v>Category03</v>
      </c>
      <c r="I252" t="str">
        <f>VLOOKUP(InputData[[#This Row],[PRODUCT ID]],MasterData[],4,)</f>
        <v>Ft</v>
      </c>
      <c r="J252" s="7">
        <f>VLOOKUP(InputData[[#This Row],[PRODUCT ID]],MasterData[],5,)</f>
        <v>121</v>
      </c>
      <c r="K252" s="7">
        <f>VLOOKUP(InputData[[#This Row],[PRODUCT ID]],MasterData[],6,)</f>
        <v>141.57</v>
      </c>
      <c r="L252" s="7">
        <f>InputData[[#This Row],[BUYING PRIZE]]*InputData[[#This Row],[QUANTITY]]</f>
        <v>968</v>
      </c>
      <c r="M252" s="7">
        <f>InputData[[#This Row],[SELLING PRICE]]*InputData[[#This Row],[QUANTITY]]*(1-InputData[[#This Row],[DISCOUNT %]])</f>
        <v>1132.56</v>
      </c>
      <c r="N252">
        <f>DAY(InputData[[#This Row],[DATE]])</f>
        <v>18</v>
      </c>
      <c r="O252" t="str">
        <f>TEXT(InputData[[#This Row],[DATE]],"mmm")</f>
        <v>Dec</v>
      </c>
      <c r="P252">
        <f>YEAR(InputData[[#This Row],[DATE]])</f>
        <v>2021</v>
      </c>
    </row>
    <row r="253" spans="1:16" x14ac:dyDescent="0.3">
      <c r="A253" s="3">
        <v>44549</v>
      </c>
      <c r="B253" s="4" t="s">
        <v>54</v>
      </c>
      <c r="C253" s="5">
        <v>12</v>
      </c>
      <c r="D253" s="5" t="s">
        <v>108</v>
      </c>
      <c r="E253" s="5" t="s">
        <v>106</v>
      </c>
      <c r="F253" s="6">
        <v>0</v>
      </c>
      <c r="G253" t="str">
        <f>VLOOKUP(InputData[[#This Row],[PRODUCT ID]],MasterData[],2,)</f>
        <v>Product23</v>
      </c>
      <c r="H253" t="str">
        <f>VLOOKUP(InputData[[#This Row],[PRODUCT ID]],MasterData[],3,)</f>
        <v>Category03</v>
      </c>
      <c r="I253" t="str">
        <f>VLOOKUP(InputData[[#This Row],[PRODUCT ID]],MasterData[],4,)</f>
        <v>Ft</v>
      </c>
      <c r="J253" s="7">
        <f>VLOOKUP(InputData[[#This Row],[PRODUCT ID]],MasterData[],5,)</f>
        <v>141</v>
      </c>
      <c r="K253" s="7">
        <f>VLOOKUP(InputData[[#This Row],[PRODUCT ID]],MasterData[],6,)</f>
        <v>149.46</v>
      </c>
      <c r="L253" s="7">
        <f>InputData[[#This Row],[BUYING PRIZE]]*InputData[[#This Row],[QUANTITY]]</f>
        <v>1692</v>
      </c>
      <c r="M253" s="7">
        <f>InputData[[#This Row],[SELLING PRICE]]*InputData[[#This Row],[QUANTITY]]*(1-InputData[[#This Row],[DISCOUNT %]])</f>
        <v>1793.52</v>
      </c>
      <c r="N253">
        <f>DAY(InputData[[#This Row],[DATE]])</f>
        <v>19</v>
      </c>
      <c r="O253" t="str">
        <f>TEXT(InputData[[#This Row],[DATE]],"mmm")</f>
        <v>Dec</v>
      </c>
      <c r="P253">
        <f>YEAR(InputData[[#This Row],[DATE]])</f>
        <v>2021</v>
      </c>
    </row>
    <row r="254" spans="1:16" x14ac:dyDescent="0.3">
      <c r="A254" s="3">
        <v>44549</v>
      </c>
      <c r="B254" s="4" t="s">
        <v>67</v>
      </c>
      <c r="C254" s="5">
        <v>3</v>
      </c>
      <c r="D254" s="5" t="s">
        <v>105</v>
      </c>
      <c r="E254" s="5" t="s">
        <v>106</v>
      </c>
      <c r="F254" s="6">
        <v>0</v>
      </c>
      <c r="G254" t="str">
        <f>VLOOKUP(InputData[[#This Row],[PRODUCT ID]],MasterData[],2,)</f>
        <v>Product29</v>
      </c>
      <c r="H254" t="str">
        <f>VLOOKUP(InputData[[#This Row],[PRODUCT ID]],MasterData[],3,)</f>
        <v>Category04</v>
      </c>
      <c r="I254" t="str">
        <f>VLOOKUP(InputData[[#This Row],[PRODUCT ID]],MasterData[],4,)</f>
        <v>Lt</v>
      </c>
      <c r="J254" s="7">
        <f>VLOOKUP(InputData[[#This Row],[PRODUCT ID]],MasterData[],5,)</f>
        <v>47</v>
      </c>
      <c r="K254" s="7">
        <f>VLOOKUP(InputData[[#This Row],[PRODUCT ID]],MasterData[],6,)</f>
        <v>53.11</v>
      </c>
      <c r="L254" s="7">
        <f>InputData[[#This Row],[BUYING PRIZE]]*InputData[[#This Row],[QUANTITY]]</f>
        <v>141</v>
      </c>
      <c r="M254" s="7">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3">
      <c r="A255" s="3">
        <v>44549</v>
      </c>
      <c r="B255" s="4" t="s">
        <v>29</v>
      </c>
      <c r="C255" s="5">
        <v>10</v>
      </c>
      <c r="D255" s="5" t="s">
        <v>106</v>
      </c>
      <c r="E255" s="5" t="s">
        <v>106</v>
      </c>
      <c r="F255" s="6">
        <v>0</v>
      </c>
      <c r="G255" t="str">
        <f>VLOOKUP(InputData[[#This Row],[PRODUCT ID]],MasterData[],2,)</f>
        <v>Product11</v>
      </c>
      <c r="H255" t="str">
        <f>VLOOKUP(InputData[[#This Row],[PRODUCT ID]],MasterData[],3,)</f>
        <v>Category02</v>
      </c>
      <c r="I255" t="str">
        <f>VLOOKUP(InputData[[#This Row],[PRODUCT ID]],MasterData[],4,)</f>
        <v>Lt</v>
      </c>
      <c r="J255" s="7">
        <f>VLOOKUP(InputData[[#This Row],[PRODUCT ID]],MasterData[],5,)</f>
        <v>44</v>
      </c>
      <c r="K255" s="7">
        <f>VLOOKUP(InputData[[#This Row],[PRODUCT ID]],MasterData[],6,)</f>
        <v>48.4</v>
      </c>
      <c r="L255" s="7">
        <f>InputData[[#This Row],[BUYING PRIZE]]*InputData[[#This Row],[QUANTITY]]</f>
        <v>440</v>
      </c>
      <c r="M255" s="7">
        <f>InputData[[#This Row],[SELLING PRICE]]*InputData[[#This Row],[QUANTITY]]*(1-InputData[[#This Row],[DISCOUNT %]])</f>
        <v>484</v>
      </c>
      <c r="N255">
        <f>DAY(InputData[[#This Row],[DATE]])</f>
        <v>19</v>
      </c>
      <c r="O255" t="str">
        <f>TEXT(InputData[[#This Row],[DATE]],"mmm")</f>
        <v>Dec</v>
      </c>
      <c r="P255">
        <f>YEAR(InputData[[#This Row],[DATE]])</f>
        <v>2021</v>
      </c>
    </row>
    <row r="256" spans="1:16" x14ac:dyDescent="0.3">
      <c r="A256" s="3">
        <v>44550</v>
      </c>
      <c r="B256" s="4" t="s">
        <v>31</v>
      </c>
      <c r="C256" s="5">
        <v>14</v>
      </c>
      <c r="D256" s="5" t="s">
        <v>108</v>
      </c>
      <c r="E256" s="5" t="s">
        <v>106</v>
      </c>
      <c r="F256" s="6">
        <v>0</v>
      </c>
      <c r="G256" t="str">
        <f>VLOOKUP(InputData[[#This Row],[PRODUCT ID]],MasterData[],2,)</f>
        <v>Product12</v>
      </c>
      <c r="H256" t="str">
        <f>VLOOKUP(InputData[[#This Row],[PRODUCT ID]],MasterData[],3,)</f>
        <v>Category02</v>
      </c>
      <c r="I256" t="str">
        <f>VLOOKUP(InputData[[#This Row],[PRODUCT ID]],MasterData[],4,)</f>
        <v>Kg</v>
      </c>
      <c r="J256" s="7">
        <f>VLOOKUP(InputData[[#This Row],[PRODUCT ID]],MasterData[],5,)</f>
        <v>73</v>
      </c>
      <c r="K256" s="7">
        <f>VLOOKUP(InputData[[#This Row],[PRODUCT ID]],MasterData[],6,)</f>
        <v>94.17</v>
      </c>
      <c r="L256" s="7">
        <f>InputData[[#This Row],[BUYING PRIZE]]*InputData[[#This Row],[QUANTITY]]</f>
        <v>1022</v>
      </c>
      <c r="M256" s="7">
        <f>InputData[[#This Row],[SELLING PRICE]]*InputData[[#This Row],[QUANTITY]]*(1-InputData[[#This Row],[DISCOUNT %]])</f>
        <v>1318.38</v>
      </c>
      <c r="N256">
        <f>DAY(InputData[[#This Row],[DATE]])</f>
        <v>20</v>
      </c>
      <c r="O256" t="str">
        <f>TEXT(InputData[[#This Row],[DATE]],"mmm")</f>
        <v>Dec</v>
      </c>
      <c r="P256">
        <f>YEAR(InputData[[#This Row],[DATE]])</f>
        <v>2021</v>
      </c>
    </row>
    <row r="257" spans="1:16" x14ac:dyDescent="0.3">
      <c r="A257" s="3">
        <v>44551</v>
      </c>
      <c r="B257" s="4" t="s">
        <v>60</v>
      </c>
      <c r="C257" s="5">
        <v>10</v>
      </c>
      <c r="D257" s="5" t="s">
        <v>106</v>
      </c>
      <c r="E257" s="5" t="s">
        <v>107</v>
      </c>
      <c r="F257" s="6">
        <v>0</v>
      </c>
      <c r="G257" t="str">
        <f>VLOOKUP(InputData[[#This Row],[PRODUCT ID]],MasterData[],2,)</f>
        <v>Product26</v>
      </c>
      <c r="H257" t="str">
        <f>VLOOKUP(InputData[[#This Row],[PRODUCT ID]],MasterData[],3,)</f>
        <v>Category04</v>
      </c>
      <c r="I257" t="str">
        <f>VLOOKUP(InputData[[#This Row],[PRODUCT ID]],MasterData[],4,)</f>
        <v>No.</v>
      </c>
      <c r="J257" s="7">
        <f>VLOOKUP(InputData[[#This Row],[PRODUCT ID]],MasterData[],5,)</f>
        <v>18</v>
      </c>
      <c r="K257" s="7">
        <f>VLOOKUP(InputData[[#This Row],[PRODUCT ID]],MasterData[],6,)</f>
        <v>24.66</v>
      </c>
      <c r="L257" s="7">
        <f>InputData[[#This Row],[BUYING PRIZE]]*InputData[[#This Row],[QUANTITY]]</f>
        <v>180</v>
      </c>
      <c r="M257" s="7">
        <f>InputData[[#This Row],[SELLING PRICE]]*InputData[[#This Row],[QUANTITY]]*(1-InputData[[#This Row],[DISCOUNT %]])</f>
        <v>246.6</v>
      </c>
      <c r="N257">
        <f>DAY(InputData[[#This Row],[DATE]])</f>
        <v>21</v>
      </c>
      <c r="O257" t="str">
        <f>TEXT(InputData[[#This Row],[DATE]],"mmm")</f>
        <v>Dec</v>
      </c>
      <c r="P257">
        <f>YEAR(InputData[[#This Row],[DATE]])</f>
        <v>2021</v>
      </c>
    </row>
    <row r="258" spans="1:16" x14ac:dyDescent="0.3">
      <c r="A258" s="3">
        <v>44554</v>
      </c>
      <c r="B258" s="4" t="s">
        <v>94</v>
      </c>
      <c r="C258" s="5">
        <v>8</v>
      </c>
      <c r="D258" s="5" t="s">
        <v>105</v>
      </c>
      <c r="E258" s="5" t="s">
        <v>107</v>
      </c>
      <c r="F258" s="6">
        <v>0</v>
      </c>
      <c r="G258" t="str">
        <f>VLOOKUP(InputData[[#This Row],[PRODUCT ID]],MasterData[],2,)</f>
        <v>Product42</v>
      </c>
      <c r="H258" t="str">
        <f>VLOOKUP(InputData[[#This Row],[PRODUCT ID]],MasterData[],3,)</f>
        <v>Category05</v>
      </c>
      <c r="I258" t="str">
        <f>VLOOKUP(InputData[[#This Row],[PRODUCT ID]],MasterData[],4,)</f>
        <v>Ft</v>
      </c>
      <c r="J258" s="7">
        <f>VLOOKUP(InputData[[#This Row],[PRODUCT ID]],MasterData[],5,)</f>
        <v>120</v>
      </c>
      <c r="K258" s="7">
        <f>VLOOKUP(InputData[[#This Row],[PRODUCT ID]],MasterData[],6,)</f>
        <v>162</v>
      </c>
      <c r="L258" s="7">
        <f>InputData[[#This Row],[BUYING PRIZE]]*InputData[[#This Row],[QUANTITY]]</f>
        <v>960</v>
      </c>
      <c r="M258" s="7">
        <f>InputData[[#This Row],[SELLING PRICE]]*InputData[[#This Row],[QUANTITY]]*(1-InputData[[#This Row],[DISCOUNT %]])</f>
        <v>1296</v>
      </c>
      <c r="N258">
        <f>DAY(InputData[[#This Row],[DATE]])</f>
        <v>24</v>
      </c>
      <c r="O258" t="str">
        <f>TEXT(InputData[[#This Row],[DATE]],"mmm")</f>
        <v>Dec</v>
      </c>
      <c r="P258">
        <f>YEAR(InputData[[#This Row],[DATE]])</f>
        <v>2021</v>
      </c>
    </row>
    <row r="259" spans="1:16" x14ac:dyDescent="0.3">
      <c r="A259" s="3">
        <v>44554</v>
      </c>
      <c r="B259" s="4" t="s">
        <v>81</v>
      </c>
      <c r="C259" s="5">
        <v>8</v>
      </c>
      <c r="D259" s="5" t="s">
        <v>105</v>
      </c>
      <c r="E259" s="5" t="s">
        <v>106</v>
      </c>
      <c r="F259" s="6">
        <v>0</v>
      </c>
      <c r="G259" t="str">
        <f>VLOOKUP(InputData[[#This Row],[PRODUCT ID]],MasterData[],2,)</f>
        <v>Product36</v>
      </c>
      <c r="H259" t="str">
        <f>VLOOKUP(InputData[[#This Row],[PRODUCT ID]],MasterData[],3,)</f>
        <v>Category04</v>
      </c>
      <c r="I259" t="str">
        <f>VLOOKUP(InputData[[#This Row],[PRODUCT ID]],MasterData[],4,)</f>
        <v>Kg</v>
      </c>
      <c r="J259" s="7">
        <f>VLOOKUP(InputData[[#This Row],[PRODUCT ID]],MasterData[],5,)</f>
        <v>90</v>
      </c>
      <c r="K259" s="7">
        <f>VLOOKUP(InputData[[#This Row],[PRODUCT ID]],MasterData[],6,)</f>
        <v>96.3</v>
      </c>
      <c r="L259" s="7">
        <f>InputData[[#This Row],[BUYING PRIZE]]*InputData[[#This Row],[QUANTITY]]</f>
        <v>720</v>
      </c>
      <c r="M259" s="7">
        <f>InputData[[#This Row],[SELLING PRICE]]*InputData[[#This Row],[QUANTITY]]*(1-InputData[[#This Row],[DISCOUNT %]])</f>
        <v>770.4</v>
      </c>
      <c r="N259">
        <f>DAY(InputData[[#This Row],[DATE]])</f>
        <v>24</v>
      </c>
      <c r="O259" t="str">
        <f>TEXT(InputData[[#This Row],[DATE]],"mmm")</f>
        <v>Dec</v>
      </c>
      <c r="P259">
        <f>YEAR(InputData[[#This Row],[DATE]])</f>
        <v>2021</v>
      </c>
    </row>
    <row r="260" spans="1:16" x14ac:dyDescent="0.3">
      <c r="A260" s="3">
        <v>44556</v>
      </c>
      <c r="B260" s="4" t="s">
        <v>92</v>
      </c>
      <c r="C260" s="5">
        <v>14</v>
      </c>
      <c r="D260" s="5" t="s">
        <v>106</v>
      </c>
      <c r="E260" s="5" t="s">
        <v>107</v>
      </c>
      <c r="F260" s="6">
        <v>0</v>
      </c>
      <c r="G260" t="str">
        <f>VLOOKUP(InputData[[#This Row],[PRODUCT ID]],MasterData[],2,)</f>
        <v>Product41</v>
      </c>
      <c r="H260" t="str">
        <f>VLOOKUP(InputData[[#This Row],[PRODUCT ID]],MasterData[],3,)</f>
        <v>Category05</v>
      </c>
      <c r="I260" t="str">
        <f>VLOOKUP(InputData[[#This Row],[PRODUCT ID]],MasterData[],4,)</f>
        <v>Ft</v>
      </c>
      <c r="J260" s="7">
        <f>VLOOKUP(InputData[[#This Row],[PRODUCT ID]],MasterData[],5,)</f>
        <v>138</v>
      </c>
      <c r="K260" s="7">
        <f>VLOOKUP(InputData[[#This Row],[PRODUCT ID]],MasterData[],6,)</f>
        <v>173.88</v>
      </c>
      <c r="L260" s="7">
        <f>InputData[[#This Row],[BUYING PRIZE]]*InputData[[#This Row],[QUANTITY]]</f>
        <v>1932</v>
      </c>
      <c r="M260" s="7">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3">
      <c r="A261" s="3">
        <v>44557</v>
      </c>
      <c r="B261" s="4" t="s">
        <v>67</v>
      </c>
      <c r="C261" s="5">
        <v>14</v>
      </c>
      <c r="D261" s="5" t="s">
        <v>108</v>
      </c>
      <c r="E261" s="5" t="s">
        <v>107</v>
      </c>
      <c r="F261" s="6">
        <v>0</v>
      </c>
      <c r="G261" t="str">
        <f>VLOOKUP(InputData[[#This Row],[PRODUCT ID]],MasterData[],2,)</f>
        <v>Product29</v>
      </c>
      <c r="H261" t="str">
        <f>VLOOKUP(InputData[[#This Row],[PRODUCT ID]],MasterData[],3,)</f>
        <v>Category04</v>
      </c>
      <c r="I261" t="str">
        <f>VLOOKUP(InputData[[#This Row],[PRODUCT ID]],MasterData[],4,)</f>
        <v>Lt</v>
      </c>
      <c r="J261" s="7">
        <f>VLOOKUP(InputData[[#This Row],[PRODUCT ID]],MasterData[],5,)</f>
        <v>47</v>
      </c>
      <c r="K261" s="7">
        <f>VLOOKUP(InputData[[#This Row],[PRODUCT ID]],MasterData[],6,)</f>
        <v>53.11</v>
      </c>
      <c r="L261" s="7">
        <f>InputData[[#This Row],[BUYING PRIZE]]*InputData[[#This Row],[QUANTITY]]</f>
        <v>658</v>
      </c>
      <c r="M261" s="7">
        <f>InputData[[#This Row],[SELLING PRICE]]*InputData[[#This Row],[QUANTITY]]*(1-InputData[[#This Row],[DISCOUNT %]])</f>
        <v>743.54</v>
      </c>
      <c r="N261">
        <f>DAY(InputData[[#This Row],[DATE]])</f>
        <v>27</v>
      </c>
      <c r="O261" t="str">
        <f>TEXT(InputData[[#This Row],[DATE]],"mmm")</f>
        <v>Dec</v>
      </c>
      <c r="P261">
        <f>YEAR(InputData[[#This Row],[DATE]])</f>
        <v>2021</v>
      </c>
    </row>
    <row r="262" spans="1:16" x14ac:dyDescent="0.3">
      <c r="A262" s="3">
        <v>44558</v>
      </c>
      <c r="B262" s="4" t="s">
        <v>67</v>
      </c>
      <c r="C262" s="5">
        <v>6</v>
      </c>
      <c r="D262" s="5" t="s">
        <v>108</v>
      </c>
      <c r="E262" s="5" t="s">
        <v>107</v>
      </c>
      <c r="F262" s="6">
        <v>0</v>
      </c>
      <c r="G262" t="str">
        <f>VLOOKUP(InputData[[#This Row],[PRODUCT ID]],MasterData[],2,)</f>
        <v>Product29</v>
      </c>
      <c r="H262" t="str">
        <f>VLOOKUP(InputData[[#This Row],[PRODUCT ID]],MasterData[],3,)</f>
        <v>Category04</v>
      </c>
      <c r="I262" t="str">
        <f>VLOOKUP(InputData[[#This Row],[PRODUCT ID]],MasterData[],4,)</f>
        <v>Lt</v>
      </c>
      <c r="J262" s="7">
        <f>VLOOKUP(InputData[[#This Row],[PRODUCT ID]],MasterData[],5,)</f>
        <v>47</v>
      </c>
      <c r="K262" s="7">
        <f>VLOOKUP(InputData[[#This Row],[PRODUCT ID]],MasterData[],6,)</f>
        <v>53.11</v>
      </c>
      <c r="L262" s="7">
        <f>InputData[[#This Row],[BUYING PRIZE]]*InputData[[#This Row],[QUANTITY]]</f>
        <v>282</v>
      </c>
      <c r="M262" s="7">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3">
      <c r="A263" s="3">
        <v>44560</v>
      </c>
      <c r="B263" s="4" t="s">
        <v>26</v>
      </c>
      <c r="C263" s="5">
        <v>13</v>
      </c>
      <c r="D263" s="5" t="s">
        <v>106</v>
      </c>
      <c r="E263" s="5" t="s">
        <v>106</v>
      </c>
      <c r="F263" s="6">
        <v>0</v>
      </c>
      <c r="G263" t="str">
        <f>VLOOKUP(InputData[[#This Row],[PRODUCT ID]],MasterData[],2,)</f>
        <v>Product10</v>
      </c>
      <c r="H263" t="str">
        <f>VLOOKUP(InputData[[#This Row],[PRODUCT ID]],MasterData[],3,)</f>
        <v>Category02</v>
      </c>
      <c r="I263" t="str">
        <f>VLOOKUP(InputData[[#This Row],[PRODUCT ID]],MasterData[],4,)</f>
        <v>Ft</v>
      </c>
      <c r="J263" s="7">
        <f>VLOOKUP(InputData[[#This Row],[PRODUCT ID]],MasterData[],5,)</f>
        <v>148</v>
      </c>
      <c r="K263" s="7">
        <f>VLOOKUP(InputData[[#This Row],[PRODUCT ID]],MasterData[],6,)</f>
        <v>164.28</v>
      </c>
      <c r="L263" s="7">
        <f>InputData[[#This Row],[BUYING PRIZE]]*InputData[[#This Row],[QUANTITY]]</f>
        <v>1924</v>
      </c>
      <c r="M263" s="7">
        <f>InputData[[#This Row],[SELLING PRICE]]*InputData[[#This Row],[QUANTITY]]*(1-InputData[[#This Row],[DISCOUNT %]])</f>
        <v>2135.64</v>
      </c>
      <c r="N263">
        <f>DAY(InputData[[#This Row],[DATE]])</f>
        <v>30</v>
      </c>
      <c r="O263" t="str">
        <f>TEXT(InputData[[#This Row],[DATE]],"mmm")</f>
        <v>Dec</v>
      </c>
      <c r="P263">
        <f>YEAR(InputData[[#This Row],[DATE]])</f>
        <v>2021</v>
      </c>
    </row>
    <row r="264" spans="1:16" x14ac:dyDescent="0.3">
      <c r="A264" s="3">
        <v>44562</v>
      </c>
      <c r="B264" s="4" t="s">
        <v>52</v>
      </c>
      <c r="C264" s="5">
        <v>1</v>
      </c>
      <c r="D264" s="5" t="s">
        <v>105</v>
      </c>
      <c r="E264" s="5" t="s">
        <v>107</v>
      </c>
      <c r="F264" s="6">
        <v>0</v>
      </c>
      <c r="G264" t="str">
        <f>VLOOKUP(InputData[[#This Row],[PRODUCT ID]],MasterData[],2,)</f>
        <v>Product22</v>
      </c>
      <c r="H264" t="str">
        <f>VLOOKUP(InputData[[#This Row],[PRODUCT ID]],MasterData[],3,)</f>
        <v>Category03</v>
      </c>
      <c r="I264" t="str">
        <f>VLOOKUP(InputData[[#This Row],[PRODUCT ID]],MasterData[],4,)</f>
        <v>Ft</v>
      </c>
      <c r="J264" s="7">
        <f>VLOOKUP(InputData[[#This Row],[PRODUCT ID]],MasterData[],5,)</f>
        <v>121</v>
      </c>
      <c r="K264" s="7">
        <f>VLOOKUP(InputData[[#This Row],[PRODUCT ID]],MasterData[],6,)</f>
        <v>141.57</v>
      </c>
      <c r="L264" s="7">
        <f>InputData[[#This Row],[BUYING PRIZE]]*InputData[[#This Row],[QUANTITY]]</f>
        <v>121</v>
      </c>
      <c r="M264" s="7">
        <f>InputData[[#This Row],[SELLING PRICE]]*InputData[[#This Row],[QUANTITY]]*(1-InputData[[#This Row],[DISCOUNT %]])</f>
        <v>141.57</v>
      </c>
      <c r="N264">
        <f>DAY(InputData[[#This Row],[DATE]])</f>
        <v>1</v>
      </c>
      <c r="O264" t="str">
        <f>TEXT(InputData[[#This Row],[DATE]],"mmm")</f>
        <v>Jan</v>
      </c>
      <c r="P264">
        <f>YEAR(InputData[[#This Row],[DATE]])</f>
        <v>2022</v>
      </c>
    </row>
    <row r="265" spans="1:16" x14ac:dyDescent="0.3">
      <c r="A265" s="3">
        <v>44563</v>
      </c>
      <c r="B265" s="4" t="s">
        <v>26</v>
      </c>
      <c r="C265" s="5">
        <v>7</v>
      </c>
      <c r="D265" s="5" t="s">
        <v>108</v>
      </c>
      <c r="E265" s="5" t="s">
        <v>107</v>
      </c>
      <c r="F265" s="6">
        <v>0</v>
      </c>
      <c r="G265" t="str">
        <f>VLOOKUP(InputData[[#This Row],[PRODUCT ID]],MasterData[],2,)</f>
        <v>Product10</v>
      </c>
      <c r="H265" t="str">
        <f>VLOOKUP(InputData[[#This Row],[PRODUCT ID]],MasterData[],3,)</f>
        <v>Category02</v>
      </c>
      <c r="I265" t="str">
        <f>VLOOKUP(InputData[[#This Row],[PRODUCT ID]],MasterData[],4,)</f>
        <v>Ft</v>
      </c>
      <c r="J265" s="7">
        <f>VLOOKUP(InputData[[#This Row],[PRODUCT ID]],MasterData[],5,)</f>
        <v>148</v>
      </c>
      <c r="K265" s="7">
        <f>VLOOKUP(InputData[[#This Row],[PRODUCT ID]],MasterData[],6,)</f>
        <v>164.28</v>
      </c>
      <c r="L265" s="7">
        <f>InputData[[#This Row],[BUYING PRIZE]]*InputData[[#This Row],[QUANTITY]]</f>
        <v>1036</v>
      </c>
      <c r="M265" s="7">
        <f>InputData[[#This Row],[SELLING PRICE]]*InputData[[#This Row],[QUANTITY]]*(1-InputData[[#This Row],[DISCOUNT %]])</f>
        <v>1149.96</v>
      </c>
      <c r="N265">
        <f>DAY(InputData[[#This Row],[DATE]])</f>
        <v>2</v>
      </c>
      <c r="O265" t="str">
        <f>TEXT(InputData[[#This Row],[DATE]],"mmm")</f>
        <v>Jan</v>
      </c>
      <c r="P265">
        <f>YEAR(InputData[[#This Row],[DATE]])</f>
        <v>2022</v>
      </c>
    </row>
    <row r="266" spans="1:16" x14ac:dyDescent="0.3">
      <c r="A266" s="3">
        <v>44563</v>
      </c>
      <c r="B266" s="4" t="s">
        <v>37</v>
      </c>
      <c r="C266" s="5">
        <v>2</v>
      </c>
      <c r="D266" s="5" t="s">
        <v>106</v>
      </c>
      <c r="E266" s="5" t="s">
        <v>107</v>
      </c>
      <c r="F266" s="6">
        <v>0</v>
      </c>
      <c r="G266" t="str">
        <f>VLOOKUP(InputData[[#This Row],[PRODUCT ID]],MasterData[],2,)</f>
        <v>Product15</v>
      </c>
      <c r="H266" t="str">
        <f>VLOOKUP(InputData[[#This Row],[PRODUCT ID]],MasterData[],3,)</f>
        <v>Category02</v>
      </c>
      <c r="I266" t="str">
        <f>VLOOKUP(InputData[[#This Row],[PRODUCT ID]],MasterData[],4,)</f>
        <v>No.</v>
      </c>
      <c r="J266" s="7">
        <f>VLOOKUP(InputData[[#This Row],[PRODUCT ID]],MasterData[],5,)</f>
        <v>12</v>
      </c>
      <c r="K266" s="7">
        <f>VLOOKUP(InputData[[#This Row],[PRODUCT ID]],MasterData[],6,)</f>
        <v>15.719999999999999</v>
      </c>
      <c r="L266" s="7">
        <f>InputData[[#This Row],[BUYING PRIZE]]*InputData[[#This Row],[QUANTITY]]</f>
        <v>24</v>
      </c>
      <c r="M266" s="7">
        <f>InputData[[#This Row],[SELLING PRICE]]*InputData[[#This Row],[QUANTITY]]*(1-InputData[[#This Row],[DISCOUNT %]])</f>
        <v>31.439999999999998</v>
      </c>
      <c r="N266">
        <f>DAY(InputData[[#This Row],[DATE]])</f>
        <v>2</v>
      </c>
      <c r="O266" t="str">
        <f>TEXT(InputData[[#This Row],[DATE]],"mmm")</f>
        <v>Jan</v>
      </c>
      <c r="P266">
        <f>YEAR(InputData[[#This Row],[DATE]])</f>
        <v>2022</v>
      </c>
    </row>
    <row r="267" spans="1:16" x14ac:dyDescent="0.3">
      <c r="A267" s="3">
        <v>44563</v>
      </c>
      <c r="B267" s="4" t="s">
        <v>75</v>
      </c>
      <c r="C267" s="5">
        <v>1</v>
      </c>
      <c r="D267" s="5" t="s">
        <v>108</v>
      </c>
      <c r="E267" s="5" t="s">
        <v>107</v>
      </c>
      <c r="F267" s="6">
        <v>0</v>
      </c>
      <c r="G267" t="str">
        <f>VLOOKUP(InputData[[#This Row],[PRODUCT ID]],MasterData[],2,)</f>
        <v>Product33</v>
      </c>
      <c r="H267" t="str">
        <f>VLOOKUP(InputData[[#This Row],[PRODUCT ID]],MasterData[],3,)</f>
        <v>Category04</v>
      </c>
      <c r="I267" t="str">
        <f>VLOOKUP(InputData[[#This Row],[PRODUCT ID]],MasterData[],4,)</f>
        <v>Kg</v>
      </c>
      <c r="J267" s="7">
        <f>VLOOKUP(InputData[[#This Row],[PRODUCT ID]],MasterData[],5,)</f>
        <v>95</v>
      </c>
      <c r="K267" s="7">
        <f>VLOOKUP(InputData[[#This Row],[PRODUCT ID]],MasterData[],6,)</f>
        <v>119.7</v>
      </c>
      <c r="L267" s="7">
        <f>InputData[[#This Row],[BUYING PRIZE]]*InputData[[#This Row],[QUANTITY]]</f>
        <v>95</v>
      </c>
      <c r="M267" s="7">
        <f>InputData[[#This Row],[SELLING PRICE]]*InputData[[#This Row],[QUANTITY]]*(1-InputData[[#This Row],[DISCOUNT %]])</f>
        <v>119.7</v>
      </c>
      <c r="N267">
        <f>DAY(InputData[[#This Row],[DATE]])</f>
        <v>2</v>
      </c>
      <c r="O267" t="str">
        <f>TEXT(InputData[[#This Row],[DATE]],"mmm")</f>
        <v>Jan</v>
      </c>
      <c r="P267">
        <f>YEAR(InputData[[#This Row],[DATE]])</f>
        <v>2022</v>
      </c>
    </row>
    <row r="268" spans="1:16" x14ac:dyDescent="0.3">
      <c r="A268" s="3">
        <v>44564</v>
      </c>
      <c r="B268" s="4" t="s">
        <v>96</v>
      </c>
      <c r="C268" s="5">
        <v>9</v>
      </c>
      <c r="D268" s="5" t="s">
        <v>108</v>
      </c>
      <c r="E268" s="5" t="s">
        <v>107</v>
      </c>
      <c r="F268" s="6">
        <v>0</v>
      </c>
      <c r="G268" t="str">
        <f>VLOOKUP(InputData[[#This Row],[PRODUCT ID]],MasterData[],2,)</f>
        <v>Product43</v>
      </c>
      <c r="H268" t="str">
        <f>VLOOKUP(InputData[[#This Row],[PRODUCT ID]],MasterData[],3,)</f>
        <v>Category05</v>
      </c>
      <c r="I268" t="str">
        <f>VLOOKUP(InputData[[#This Row],[PRODUCT ID]],MasterData[],4,)</f>
        <v>Kg</v>
      </c>
      <c r="J268" s="7">
        <f>VLOOKUP(InputData[[#This Row],[PRODUCT ID]],MasterData[],5,)</f>
        <v>67</v>
      </c>
      <c r="K268" s="7">
        <f>VLOOKUP(InputData[[#This Row],[PRODUCT ID]],MasterData[],6,)</f>
        <v>83.08</v>
      </c>
      <c r="L268" s="7">
        <f>InputData[[#This Row],[BUYING PRIZE]]*InputData[[#This Row],[QUANTITY]]</f>
        <v>603</v>
      </c>
      <c r="M268" s="7">
        <f>InputData[[#This Row],[SELLING PRICE]]*InputData[[#This Row],[QUANTITY]]*(1-InputData[[#This Row],[DISCOUNT %]])</f>
        <v>747.72</v>
      </c>
      <c r="N268">
        <f>DAY(InputData[[#This Row],[DATE]])</f>
        <v>3</v>
      </c>
      <c r="O268" t="str">
        <f>TEXT(InputData[[#This Row],[DATE]],"mmm")</f>
        <v>Jan</v>
      </c>
      <c r="P268">
        <f>YEAR(InputData[[#This Row],[DATE]])</f>
        <v>2022</v>
      </c>
    </row>
    <row r="269" spans="1:16" x14ac:dyDescent="0.3">
      <c r="A269" s="3">
        <v>44565</v>
      </c>
      <c r="B269" s="4" t="s">
        <v>31</v>
      </c>
      <c r="C269" s="5">
        <v>8</v>
      </c>
      <c r="D269" s="5" t="s">
        <v>108</v>
      </c>
      <c r="E269" s="5" t="s">
        <v>106</v>
      </c>
      <c r="F269" s="6">
        <v>0</v>
      </c>
      <c r="G269" t="str">
        <f>VLOOKUP(InputData[[#This Row],[PRODUCT ID]],MasterData[],2,)</f>
        <v>Product12</v>
      </c>
      <c r="H269" t="str">
        <f>VLOOKUP(InputData[[#This Row],[PRODUCT ID]],MasterData[],3,)</f>
        <v>Category02</v>
      </c>
      <c r="I269" t="str">
        <f>VLOOKUP(InputData[[#This Row],[PRODUCT ID]],MasterData[],4,)</f>
        <v>Kg</v>
      </c>
      <c r="J269" s="7">
        <f>VLOOKUP(InputData[[#This Row],[PRODUCT ID]],MasterData[],5,)</f>
        <v>73</v>
      </c>
      <c r="K269" s="7">
        <f>VLOOKUP(InputData[[#This Row],[PRODUCT ID]],MasterData[],6,)</f>
        <v>94.17</v>
      </c>
      <c r="L269" s="7">
        <f>InputData[[#This Row],[BUYING PRIZE]]*InputData[[#This Row],[QUANTITY]]</f>
        <v>584</v>
      </c>
      <c r="M269" s="7">
        <f>InputData[[#This Row],[SELLING PRICE]]*InputData[[#This Row],[QUANTITY]]*(1-InputData[[#This Row],[DISCOUNT %]])</f>
        <v>753.36</v>
      </c>
      <c r="N269">
        <f>DAY(InputData[[#This Row],[DATE]])</f>
        <v>4</v>
      </c>
      <c r="O269" t="str">
        <f>TEXT(InputData[[#This Row],[DATE]],"mmm")</f>
        <v>Jan</v>
      </c>
      <c r="P269">
        <f>YEAR(InputData[[#This Row],[DATE]])</f>
        <v>2022</v>
      </c>
    </row>
    <row r="270" spans="1:16" x14ac:dyDescent="0.3">
      <c r="A270" s="3">
        <v>44565</v>
      </c>
      <c r="B270" s="4" t="s">
        <v>67</v>
      </c>
      <c r="C270" s="5">
        <v>1</v>
      </c>
      <c r="D270" s="5" t="s">
        <v>106</v>
      </c>
      <c r="E270" s="5" t="s">
        <v>106</v>
      </c>
      <c r="F270" s="6">
        <v>0</v>
      </c>
      <c r="G270" t="str">
        <f>VLOOKUP(InputData[[#This Row],[PRODUCT ID]],MasterData[],2,)</f>
        <v>Product29</v>
      </c>
      <c r="H270" t="str">
        <f>VLOOKUP(InputData[[#This Row],[PRODUCT ID]],MasterData[],3,)</f>
        <v>Category04</v>
      </c>
      <c r="I270" t="str">
        <f>VLOOKUP(InputData[[#This Row],[PRODUCT ID]],MasterData[],4,)</f>
        <v>Lt</v>
      </c>
      <c r="J270" s="7">
        <f>VLOOKUP(InputData[[#This Row],[PRODUCT ID]],MasterData[],5,)</f>
        <v>47</v>
      </c>
      <c r="K270" s="7">
        <f>VLOOKUP(InputData[[#This Row],[PRODUCT ID]],MasterData[],6,)</f>
        <v>53.11</v>
      </c>
      <c r="L270" s="7">
        <f>InputData[[#This Row],[BUYING PRIZE]]*InputData[[#This Row],[QUANTITY]]</f>
        <v>47</v>
      </c>
      <c r="M270" s="7">
        <f>InputData[[#This Row],[SELLING PRICE]]*InputData[[#This Row],[QUANTITY]]*(1-InputData[[#This Row],[DISCOUNT %]])</f>
        <v>53.11</v>
      </c>
      <c r="N270">
        <f>DAY(InputData[[#This Row],[DATE]])</f>
        <v>4</v>
      </c>
      <c r="O270" t="str">
        <f>TEXT(InputData[[#This Row],[DATE]],"mmm")</f>
        <v>Jan</v>
      </c>
      <c r="P270">
        <f>YEAR(InputData[[#This Row],[DATE]])</f>
        <v>2022</v>
      </c>
    </row>
    <row r="271" spans="1:16" x14ac:dyDescent="0.3">
      <c r="A271" s="3">
        <v>44570</v>
      </c>
      <c r="B271" s="4" t="s">
        <v>73</v>
      </c>
      <c r="C271" s="5">
        <v>12</v>
      </c>
      <c r="D271" s="5" t="s">
        <v>108</v>
      </c>
      <c r="E271" s="5" t="s">
        <v>106</v>
      </c>
      <c r="F271" s="6">
        <v>0</v>
      </c>
      <c r="G271" t="str">
        <f>VLOOKUP(InputData[[#This Row],[PRODUCT ID]],MasterData[],2,)</f>
        <v>Product32</v>
      </c>
      <c r="H271" t="str">
        <f>VLOOKUP(InputData[[#This Row],[PRODUCT ID]],MasterData[],3,)</f>
        <v>Category04</v>
      </c>
      <c r="I271" t="str">
        <f>VLOOKUP(InputData[[#This Row],[PRODUCT ID]],MasterData[],4,)</f>
        <v>Kg</v>
      </c>
      <c r="J271" s="7">
        <f>VLOOKUP(InputData[[#This Row],[PRODUCT ID]],MasterData[],5,)</f>
        <v>89</v>
      </c>
      <c r="K271" s="7">
        <f>VLOOKUP(InputData[[#This Row],[PRODUCT ID]],MasterData[],6,)</f>
        <v>117.48</v>
      </c>
      <c r="L271" s="7">
        <f>InputData[[#This Row],[BUYING PRIZE]]*InputData[[#This Row],[QUANTITY]]</f>
        <v>1068</v>
      </c>
      <c r="M271" s="7">
        <f>InputData[[#This Row],[SELLING PRICE]]*InputData[[#This Row],[QUANTITY]]*(1-InputData[[#This Row],[DISCOUNT %]])</f>
        <v>1409.76</v>
      </c>
      <c r="N271">
        <f>DAY(InputData[[#This Row],[DATE]])</f>
        <v>9</v>
      </c>
      <c r="O271" t="str">
        <f>TEXT(InputData[[#This Row],[DATE]],"mmm")</f>
        <v>Jan</v>
      </c>
      <c r="P271">
        <f>YEAR(InputData[[#This Row],[DATE]])</f>
        <v>2022</v>
      </c>
    </row>
    <row r="272" spans="1:16" x14ac:dyDescent="0.3">
      <c r="A272" s="3">
        <v>44571</v>
      </c>
      <c r="B272" s="4" t="s">
        <v>77</v>
      </c>
      <c r="C272" s="5">
        <v>14</v>
      </c>
      <c r="D272" s="5" t="s">
        <v>106</v>
      </c>
      <c r="E272" s="5" t="s">
        <v>106</v>
      </c>
      <c r="F272" s="6">
        <v>0</v>
      </c>
      <c r="G272" t="str">
        <f>VLOOKUP(InputData[[#This Row],[PRODUCT ID]],MasterData[],2,)</f>
        <v>Product34</v>
      </c>
      <c r="H272" t="str">
        <f>VLOOKUP(InputData[[#This Row],[PRODUCT ID]],MasterData[],3,)</f>
        <v>Category04</v>
      </c>
      <c r="I272" t="str">
        <f>VLOOKUP(InputData[[#This Row],[PRODUCT ID]],MasterData[],4,)</f>
        <v>Lt</v>
      </c>
      <c r="J272" s="7">
        <f>VLOOKUP(InputData[[#This Row],[PRODUCT ID]],MasterData[],5,)</f>
        <v>55</v>
      </c>
      <c r="K272" s="7">
        <f>VLOOKUP(InputData[[#This Row],[PRODUCT ID]],MasterData[],6,)</f>
        <v>58.3</v>
      </c>
      <c r="L272" s="7">
        <f>InputData[[#This Row],[BUYING PRIZE]]*InputData[[#This Row],[QUANTITY]]</f>
        <v>770</v>
      </c>
      <c r="M272" s="7">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3">
      <c r="A273" s="3">
        <v>44572</v>
      </c>
      <c r="B273" s="4" t="s">
        <v>73</v>
      </c>
      <c r="C273" s="5">
        <v>2</v>
      </c>
      <c r="D273" s="5" t="s">
        <v>108</v>
      </c>
      <c r="E273" s="5" t="s">
        <v>106</v>
      </c>
      <c r="F273" s="6">
        <v>0</v>
      </c>
      <c r="G273" t="str">
        <f>VLOOKUP(InputData[[#This Row],[PRODUCT ID]],MasterData[],2,)</f>
        <v>Product32</v>
      </c>
      <c r="H273" t="str">
        <f>VLOOKUP(InputData[[#This Row],[PRODUCT ID]],MasterData[],3,)</f>
        <v>Category04</v>
      </c>
      <c r="I273" t="str">
        <f>VLOOKUP(InputData[[#This Row],[PRODUCT ID]],MasterData[],4,)</f>
        <v>Kg</v>
      </c>
      <c r="J273" s="7">
        <f>VLOOKUP(InputData[[#This Row],[PRODUCT ID]],MasterData[],5,)</f>
        <v>89</v>
      </c>
      <c r="K273" s="7">
        <f>VLOOKUP(InputData[[#This Row],[PRODUCT ID]],MasterData[],6,)</f>
        <v>117.48</v>
      </c>
      <c r="L273" s="7">
        <f>InputData[[#This Row],[BUYING PRIZE]]*InputData[[#This Row],[QUANTITY]]</f>
        <v>178</v>
      </c>
      <c r="M273" s="7">
        <f>InputData[[#This Row],[SELLING PRICE]]*InputData[[#This Row],[QUANTITY]]*(1-InputData[[#This Row],[DISCOUNT %]])</f>
        <v>234.96</v>
      </c>
      <c r="N273">
        <f>DAY(InputData[[#This Row],[DATE]])</f>
        <v>11</v>
      </c>
      <c r="O273" t="str">
        <f>TEXT(InputData[[#This Row],[DATE]],"mmm")</f>
        <v>Jan</v>
      </c>
      <c r="P273">
        <f>YEAR(InputData[[#This Row],[DATE]])</f>
        <v>2022</v>
      </c>
    </row>
    <row r="274" spans="1:16" x14ac:dyDescent="0.3">
      <c r="A274" s="3">
        <v>44574</v>
      </c>
      <c r="B274" s="4" t="s">
        <v>45</v>
      </c>
      <c r="C274" s="5">
        <v>6</v>
      </c>
      <c r="D274" s="5" t="s">
        <v>106</v>
      </c>
      <c r="E274" s="5" t="s">
        <v>106</v>
      </c>
      <c r="F274" s="6">
        <v>0</v>
      </c>
      <c r="G274" t="str">
        <f>VLOOKUP(InputData[[#This Row],[PRODUCT ID]],MasterData[],2,)</f>
        <v>Product19</v>
      </c>
      <c r="H274" t="str">
        <f>VLOOKUP(InputData[[#This Row],[PRODUCT ID]],MasterData[],3,)</f>
        <v>Category02</v>
      </c>
      <c r="I274" t="str">
        <f>VLOOKUP(InputData[[#This Row],[PRODUCT ID]],MasterData[],4,)</f>
        <v>Ft</v>
      </c>
      <c r="J274" s="7">
        <f>VLOOKUP(InputData[[#This Row],[PRODUCT ID]],MasterData[],5,)</f>
        <v>150</v>
      </c>
      <c r="K274" s="7">
        <f>VLOOKUP(InputData[[#This Row],[PRODUCT ID]],MasterData[],6,)</f>
        <v>210</v>
      </c>
      <c r="L274" s="7">
        <f>InputData[[#This Row],[BUYING PRIZE]]*InputData[[#This Row],[QUANTITY]]</f>
        <v>900</v>
      </c>
      <c r="M274" s="7">
        <f>InputData[[#This Row],[SELLING PRICE]]*InputData[[#This Row],[QUANTITY]]*(1-InputData[[#This Row],[DISCOUNT %]])</f>
        <v>1260</v>
      </c>
      <c r="N274">
        <f>DAY(InputData[[#This Row],[DATE]])</f>
        <v>13</v>
      </c>
      <c r="O274" t="str">
        <f>TEXT(InputData[[#This Row],[DATE]],"mmm")</f>
        <v>Jan</v>
      </c>
      <c r="P274">
        <f>YEAR(InputData[[#This Row],[DATE]])</f>
        <v>2022</v>
      </c>
    </row>
    <row r="275" spans="1:16" x14ac:dyDescent="0.3">
      <c r="A275" s="3">
        <v>44575</v>
      </c>
      <c r="B275" s="4" t="s">
        <v>29</v>
      </c>
      <c r="C275" s="5">
        <v>14</v>
      </c>
      <c r="D275" s="5" t="s">
        <v>108</v>
      </c>
      <c r="E275" s="5" t="s">
        <v>106</v>
      </c>
      <c r="F275" s="6">
        <v>0</v>
      </c>
      <c r="G275" t="str">
        <f>VLOOKUP(InputData[[#This Row],[PRODUCT ID]],MasterData[],2,)</f>
        <v>Product11</v>
      </c>
      <c r="H275" t="str">
        <f>VLOOKUP(InputData[[#This Row],[PRODUCT ID]],MasterData[],3,)</f>
        <v>Category02</v>
      </c>
      <c r="I275" t="str">
        <f>VLOOKUP(InputData[[#This Row],[PRODUCT ID]],MasterData[],4,)</f>
        <v>Lt</v>
      </c>
      <c r="J275" s="7">
        <f>VLOOKUP(InputData[[#This Row],[PRODUCT ID]],MasterData[],5,)</f>
        <v>44</v>
      </c>
      <c r="K275" s="7">
        <f>VLOOKUP(InputData[[#This Row],[PRODUCT ID]],MasterData[],6,)</f>
        <v>48.4</v>
      </c>
      <c r="L275" s="7">
        <f>InputData[[#This Row],[BUYING PRIZE]]*InputData[[#This Row],[QUANTITY]]</f>
        <v>616</v>
      </c>
      <c r="M275" s="7">
        <f>InputData[[#This Row],[SELLING PRICE]]*InputData[[#This Row],[QUANTITY]]*(1-InputData[[#This Row],[DISCOUNT %]])</f>
        <v>677.6</v>
      </c>
      <c r="N275">
        <f>DAY(InputData[[#This Row],[DATE]])</f>
        <v>14</v>
      </c>
      <c r="O275" t="str">
        <f>TEXT(InputData[[#This Row],[DATE]],"mmm")</f>
        <v>Jan</v>
      </c>
      <c r="P275">
        <f>YEAR(InputData[[#This Row],[DATE]])</f>
        <v>2022</v>
      </c>
    </row>
    <row r="276" spans="1:16" x14ac:dyDescent="0.3">
      <c r="A276" s="3">
        <v>44576</v>
      </c>
      <c r="B276" s="4" t="s">
        <v>52</v>
      </c>
      <c r="C276" s="5">
        <v>10</v>
      </c>
      <c r="D276" s="5" t="s">
        <v>108</v>
      </c>
      <c r="E276" s="5" t="s">
        <v>107</v>
      </c>
      <c r="F276" s="6">
        <v>0</v>
      </c>
      <c r="G276" t="str">
        <f>VLOOKUP(InputData[[#This Row],[PRODUCT ID]],MasterData[],2,)</f>
        <v>Product22</v>
      </c>
      <c r="H276" t="str">
        <f>VLOOKUP(InputData[[#This Row],[PRODUCT ID]],MasterData[],3,)</f>
        <v>Category03</v>
      </c>
      <c r="I276" t="str">
        <f>VLOOKUP(InputData[[#This Row],[PRODUCT ID]],MasterData[],4,)</f>
        <v>Ft</v>
      </c>
      <c r="J276" s="7">
        <f>VLOOKUP(InputData[[#This Row],[PRODUCT ID]],MasterData[],5,)</f>
        <v>121</v>
      </c>
      <c r="K276" s="7">
        <f>VLOOKUP(InputData[[#This Row],[PRODUCT ID]],MasterData[],6,)</f>
        <v>141.57</v>
      </c>
      <c r="L276" s="7">
        <f>InputData[[#This Row],[BUYING PRIZE]]*InputData[[#This Row],[QUANTITY]]</f>
        <v>1210</v>
      </c>
      <c r="M276" s="7">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3">
      <c r="A277" s="3">
        <v>44577</v>
      </c>
      <c r="B277" s="4" t="s">
        <v>35</v>
      </c>
      <c r="C277" s="5">
        <v>11</v>
      </c>
      <c r="D277" s="5" t="s">
        <v>106</v>
      </c>
      <c r="E277" s="5" t="s">
        <v>107</v>
      </c>
      <c r="F277" s="6">
        <v>0</v>
      </c>
      <c r="G277" t="str">
        <f>VLOOKUP(InputData[[#This Row],[PRODUCT ID]],MasterData[],2,)</f>
        <v>Product14</v>
      </c>
      <c r="H277" t="str">
        <f>VLOOKUP(InputData[[#This Row],[PRODUCT ID]],MasterData[],3,)</f>
        <v>Category02</v>
      </c>
      <c r="I277" t="str">
        <f>VLOOKUP(InputData[[#This Row],[PRODUCT ID]],MasterData[],4,)</f>
        <v>Kg</v>
      </c>
      <c r="J277" s="7">
        <f>VLOOKUP(InputData[[#This Row],[PRODUCT ID]],MasterData[],5,)</f>
        <v>112</v>
      </c>
      <c r="K277" s="7">
        <f>VLOOKUP(InputData[[#This Row],[PRODUCT ID]],MasterData[],6,)</f>
        <v>146.72</v>
      </c>
      <c r="L277" s="7">
        <f>InputData[[#This Row],[BUYING PRIZE]]*InputData[[#This Row],[QUANTITY]]</f>
        <v>1232</v>
      </c>
      <c r="M277" s="7">
        <f>InputData[[#This Row],[SELLING PRICE]]*InputData[[#This Row],[QUANTITY]]*(1-InputData[[#This Row],[DISCOUNT %]])</f>
        <v>1613.92</v>
      </c>
      <c r="N277">
        <f>DAY(InputData[[#This Row],[DATE]])</f>
        <v>16</v>
      </c>
      <c r="O277" t="str">
        <f>TEXT(InputData[[#This Row],[DATE]],"mmm")</f>
        <v>Jan</v>
      </c>
      <c r="P277">
        <f>YEAR(InputData[[#This Row],[DATE]])</f>
        <v>2022</v>
      </c>
    </row>
    <row r="278" spans="1:16" x14ac:dyDescent="0.3">
      <c r="A278" s="3">
        <v>44578</v>
      </c>
      <c r="B278" s="4" t="s">
        <v>90</v>
      </c>
      <c r="C278" s="5">
        <v>4</v>
      </c>
      <c r="D278" s="5" t="s">
        <v>106</v>
      </c>
      <c r="E278" s="5" t="s">
        <v>106</v>
      </c>
      <c r="F278" s="6">
        <v>0</v>
      </c>
      <c r="G278" t="str">
        <f>VLOOKUP(InputData[[#This Row],[PRODUCT ID]],MasterData[],2,)</f>
        <v>Product40</v>
      </c>
      <c r="H278" t="str">
        <f>VLOOKUP(InputData[[#This Row],[PRODUCT ID]],MasterData[],3,)</f>
        <v>Category05</v>
      </c>
      <c r="I278" t="str">
        <f>VLOOKUP(InputData[[#This Row],[PRODUCT ID]],MasterData[],4,)</f>
        <v>Kg</v>
      </c>
      <c r="J278" s="7">
        <f>VLOOKUP(InputData[[#This Row],[PRODUCT ID]],MasterData[],5,)</f>
        <v>90</v>
      </c>
      <c r="K278" s="7">
        <f>VLOOKUP(InputData[[#This Row],[PRODUCT ID]],MasterData[],6,)</f>
        <v>115.2</v>
      </c>
      <c r="L278" s="7">
        <f>InputData[[#This Row],[BUYING PRIZE]]*InputData[[#This Row],[QUANTITY]]</f>
        <v>360</v>
      </c>
      <c r="M278" s="7">
        <f>InputData[[#This Row],[SELLING PRICE]]*InputData[[#This Row],[QUANTITY]]*(1-InputData[[#This Row],[DISCOUNT %]])</f>
        <v>460.8</v>
      </c>
      <c r="N278">
        <f>DAY(InputData[[#This Row],[DATE]])</f>
        <v>17</v>
      </c>
      <c r="O278" t="str">
        <f>TEXT(InputData[[#This Row],[DATE]],"mmm")</f>
        <v>Jan</v>
      </c>
      <c r="P278">
        <f>YEAR(InputData[[#This Row],[DATE]])</f>
        <v>2022</v>
      </c>
    </row>
    <row r="279" spans="1:16" x14ac:dyDescent="0.3">
      <c r="A279" s="3">
        <v>44579</v>
      </c>
      <c r="B279" s="4" t="s">
        <v>22</v>
      </c>
      <c r="C279" s="5">
        <v>9</v>
      </c>
      <c r="D279" s="5" t="s">
        <v>105</v>
      </c>
      <c r="E279" s="5" t="s">
        <v>107</v>
      </c>
      <c r="F279" s="6">
        <v>0</v>
      </c>
      <c r="G279" t="str">
        <f>VLOOKUP(InputData[[#This Row],[PRODUCT ID]],MasterData[],2,)</f>
        <v>Product08</v>
      </c>
      <c r="H279" t="str">
        <f>VLOOKUP(InputData[[#This Row],[PRODUCT ID]],MasterData[],3,)</f>
        <v>Category01</v>
      </c>
      <c r="I279" t="str">
        <f>VLOOKUP(InputData[[#This Row],[PRODUCT ID]],MasterData[],4,)</f>
        <v>Kg</v>
      </c>
      <c r="J279" s="7">
        <f>VLOOKUP(InputData[[#This Row],[PRODUCT ID]],MasterData[],5,)</f>
        <v>83</v>
      </c>
      <c r="K279" s="7">
        <f>VLOOKUP(InputData[[#This Row],[PRODUCT ID]],MasterData[],6,)</f>
        <v>94.62</v>
      </c>
      <c r="L279" s="7">
        <f>InputData[[#This Row],[BUYING PRIZE]]*InputData[[#This Row],[QUANTITY]]</f>
        <v>747</v>
      </c>
      <c r="M279" s="7">
        <f>InputData[[#This Row],[SELLING PRICE]]*InputData[[#This Row],[QUANTITY]]*(1-InputData[[#This Row],[DISCOUNT %]])</f>
        <v>851.58</v>
      </c>
      <c r="N279">
        <f>DAY(InputData[[#This Row],[DATE]])</f>
        <v>18</v>
      </c>
      <c r="O279" t="str">
        <f>TEXT(InputData[[#This Row],[DATE]],"mmm")</f>
        <v>Jan</v>
      </c>
      <c r="P279">
        <f>YEAR(InputData[[#This Row],[DATE]])</f>
        <v>2022</v>
      </c>
    </row>
    <row r="280" spans="1:16" x14ac:dyDescent="0.3">
      <c r="A280" s="3">
        <v>44581</v>
      </c>
      <c r="B280" s="4" t="s">
        <v>50</v>
      </c>
      <c r="C280" s="5">
        <v>2</v>
      </c>
      <c r="D280" s="5" t="s">
        <v>108</v>
      </c>
      <c r="E280" s="5" t="s">
        <v>107</v>
      </c>
      <c r="F280" s="6">
        <v>0</v>
      </c>
      <c r="G280" t="str">
        <f>VLOOKUP(InputData[[#This Row],[PRODUCT ID]],MasterData[],2,)</f>
        <v>Product21</v>
      </c>
      <c r="H280" t="str">
        <f>VLOOKUP(InputData[[#This Row],[PRODUCT ID]],MasterData[],3,)</f>
        <v>Category03</v>
      </c>
      <c r="I280" t="str">
        <f>VLOOKUP(InputData[[#This Row],[PRODUCT ID]],MasterData[],4,)</f>
        <v>Ft</v>
      </c>
      <c r="J280" s="7">
        <f>VLOOKUP(InputData[[#This Row],[PRODUCT ID]],MasterData[],5,)</f>
        <v>126</v>
      </c>
      <c r="K280" s="7">
        <f>VLOOKUP(InputData[[#This Row],[PRODUCT ID]],MasterData[],6,)</f>
        <v>162.54</v>
      </c>
      <c r="L280" s="7">
        <f>InputData[[#This Row],[BUYING PRIZE]]*InputData[[#This Row],[QUANTITY]]</f>
        <v>252</v>
      </c>
      <c r="M280" s="7">
        <f>InputData[[#This Row],[SELLING PRICE]]*InputData[[#This Row],[QUANTITY]]*(1-InputData[[#This Row],[DISCOUNT %]])</f>
        <v>325.08</v>
      </c>
      <c r="N280">
        <f>DAY(InputData[[#This Row],[DATE]])</f>
        <v>20</v>
      </c>
      <c r="O280" t="str">
        <f>TEXT(InputData[[#This Row],[DATE]],"mmm")</f>
        <v>Jan</v>
      </c>
      <c r="P280">
        <f>YEAR(InputData[[#This Row],[DATE]])</f>
        <v>2022</v>
      </c>
    </row>
    <row r="281" spans="1:16" x14ac:dyDescent="0.3">
      <c r="A281" s="3">
        <v>44581</v>
      </c>
      <c r="B281" s="4" t="s">
        <v>35</v>
      </c>
      <c r="C281" s="5">
        <v>7</v>
      </c>
      <c r="D281" s="5" t="s">
        <v>106</v>
      </c>
      <c r="E281" s="5" t="s">
        <v>106</v>
      </c>
      <c r="F281" s="6">
        <v>0</v>
      </c>
      <c r="G281" t="str">
        <f>VLOOKUP(InputData[[#This Row],[PRODUCT ID]],MasterData[],2,)</f>
        <v>Product14</v>
      </c>
      <c r="H281" t="str">
        <f>VLOOKUP(InputData[[#This Row],[PRODUCT ID]],MasterData[],3,)</f>
        <v>Category02</v>
      </c>
      <c r="I281" t="str">
        <f>VLOOKUP(InputData[[#This Row],[PRODUCT ID]],MasterData[],4,)</f>
        <v>Kg</v>
      </c>
      <c r="J281" s="7">
        <f>VLOOKUP(InputData[[#This Row],[PRODUCT ID]],MasterData[],5,)</f>
        <v>112</v>
      </c>
      <c r="K281" s="7">
        <f>VLOOKUP(InputData[[#This Row],[PRODUCT ID]],MasterData[],6,)</f>
        <v>146.72</v>
      </c>
      <c r="L281" s="7">
        <f>InputData[[#This Row],[BUYING PRIZE]]*InputData[[#This Row],[QUANTITY]]</f>
        <v>784</v>
      </c>
      <c r="M281" s="7">
        <f>InputData[[#This Row],[SELLING PRICE]]*InputData[[#This Row],[QUANTITY]]*(1-InputData[[#This Row],[DISCOUNT %]])</f>
        <v>1027.04</v>
      </c>
      <c r="N281">
        <f>DAY(InputData[[#This Row],[DATE]])</f>
        <v>20</v>
      </c>
      <c r="O281" t="str">
        <f>TEXT(InputData[[#This Row],[DATE]],"mmm")</f>
        <v>Jan</v>
      </c>
      <c r="P281">
        <f>YEAR(InputData[[#This Row],[DATE]])</f>
        <v>2022</v>
      </c>
    </row>
    <row r="282" spans="1:16" x14ac:dyDescent="0.3">
      <c r="A282" s="3">
        <v>44583</v>
      </c>
      <c r="B282" s="4" t="s">
        <v>6</v>
      </c>
      <c r="C282" s="5">
        <v>6</v>
      </c>
      <c r="D282" s="5" t="s">
        <v>106</v>
      </c>
      <c r="E282" s="5" t="s">
        <v>107</v>
      </c>
      <c r="F282" s="6">
        <v>0</v>
      </c>
      <c r="G282" t="str">
        <f>VLOOKUP(InputData[[#This Row],[PRODUCT ID]],MasterData[],2,)</f>
        <v>Product01</v>
      </c>
      <c r="H282" t="str">
        <f>VLOOKUP(InputData[[#This Row],[PRODUCT ID]],MasterData[],3,)</f>
        <v>Category01</v>
      </c>
      <c r="I282" t="str">
        <f>VLOOKUP(InputData[[#This Row],[PRODUCT ID]],MasterData[],4,)</f>
        <v>Kg</v>
      </c>
      <c r="J282" s="7">
        <f>VLOOKUP(InputData[[#This Row],[PRODUCT ID]],MasterData[],5,)</f>
        <v>98</v>
      </c>
      <c r="K282" s="7">
        <f>VLOOKUP(InputData[[#This Row],[PRODUCT ID]],MasterData[],6,)</f>
        <v>103.88</v>
      </c>
      <c r="L282" s="7">
        <f>InputData[[#This Row],[BUYING PRIZE]]*InputData[[#This Row],[QUANTITY]]</f>
        <v>588</v>
      </c>
      <c r="M282" s="7">
        <f>InputData[[#This Row],[SELLING PRICE]]*InputData[[#This Row],[QUANTITY]]*(1-InputData[[#This Row],[DISCOUNT %]])</f>
        <v>623.28</v>
      </c>
      <c r="N282">
        <f>DAY(InputData[[#This Row],[DATE]])</f>
        <v>22</v>
      </c>
      <c r="O282" t="str">
        <f>TEXT(InputData[[#This Row],[DATE]],"mmm")</f>
        <v>Jan</v>
      </c>
      <c r="P282">
        <f>YEAR(InputData[[#This Row],[DATE]])</f>
        <v>2022</v>
      </c>
    </row>
    <row r="283" spans="1:16" x14ac:dyDescent="0.3">
      <c r="A283" s="3">
        <v>44584</v>
      </c>
      <c r="B283" s="4" t="s">
        <v>10</v>
      </c>
      <c r="C283" s="5">
        <v>5</v>
      </c>
      <c r="D283" s="5" t="s">
        <v>105</v>
      </c>
      <c r="E283" s="5" t="s">
        <v>107</v>
      </c>
      <c r="F283" s="6">
        <v>0</v>
      </c>
      <c r="G283" t="str">
        <f>VLOOKUP(InputData[[#This Row],[PRODUCT ID]],MasterData[],2,)</f>
        <v>Product02</v>
      </c>
      <c r="H283" t="str">
        <f>VLOOKUP(InputData[[#This Row],[PRODUCT ID]],MasterData[],3,)</f>
        <v>Category01</v>
      </c>
      <c r="I283" t="str">
        <f>VLOOKUP(InputData[[#This Row],[PRODUCT ID]],MasterData[],4,)</f>
        <v>Kg</v>
      </c>
      <c r="J283" s="7">
        <f>VLOOKUP(InputData[[#This Row],[PRODUCT ID]],MasterData[],5,)</f>
        <v>105</v>
      </c>
      <c r="K283" s="7">
        <f>VLOOKUP(InputData[[#This Row],[PRODUCT ID]],MasterData[],6,)</f>
        <v>142.80000000000001</v>
      </c>
      <c r="L283" s="7">
        <f>InputData[[#This Row],[BUYING PRIZE]]*InputData[[#This Row],[QUANTITY]]</f>
        <v>525</v>
      </c>
      <c r="M283" s="7">
        <f>InputData[[#This Row],[SELLING PRICE]]*InputData[[#This Row],[QUANTITY]]*(1-InputData[[#This Row],[DISCOUNT %]])</f>
        <v>714</v>
      </c>
      <c r="N283">
        <f>DAY(InputData[[#This Row],[DATE]])</f>
        <v>23</v>
      </c>
      <c r="O283" t="str">
        <f>TEXT(InputData[[#This Row],[DATE]],"mmm")</f>
        <v>Jan</v>
      </c>
      <c r="P283">
        <f>YEAR(InputData[[#This Row],[DATE]])</f>
        <v>2022</v>
      </c>
    </row>
    <row r="284" spans="1:16" x14ac:dyDescent="0.3">
      <c r="A284" s="3">
        <v>44584</v>
      </c>
      <c r="B284" s="4" t="s">
        <v>94</v>
      </c>
      <c r="C284" s="5">
        <v>8</v>
      </c>
      <c r="D284" s="5" t="s">
        <v>108</v>
      </c>
      <c r="E284" s="5" t="s">
        <v>106</v>
      </c>
      <c r="F284" s="6">
        <v>0</v>
      </c>
      <c r="G284" t="str">
        <f>VLOOKUP(InputData[[#This Row],[PRODUCT ID]],MasterData[],2,)</f>
        <v>Product42</v>
      </c>
      <c r="H284" t="str">
        <f>VLOOKUP(InputData[[#This Row],[PRODUCT ID]],MasterData[],3,)</f>
        <v>Category05</v>
      </c>
      <c r="I284" t="str">
        <f>VLOOKUP(InputData[[#This Row],[PRODUCT ID]],MasterData[],4,)</f>
        <v>Ft</v>
      </c>
      <c r="J284" s="7">
        <f>VLOOKUP(InputData[[#This Row],[PRODUCT ID]],MasterData[],5,)</f>
        <v>120</v>
      </c>
      <c r="K284" s="7">
        <f>VLOOKUP(InputData[[#This Row],[PRODUCT ID]],MasterData[],6,)</f>
        <v>162</v>
      </c>
      <c r="L284" s="7">
        <f>InputData[[#This Row],[BUYING PRIZE]]*InputData[[#This Row],[QUANTITY]]</f>
        <v>960</v>
      </c>
      <c r="M284" s="7">
        <f>InputData[[#This Row],[SELLING PRICE]]*InputData[[#This Row],[QUANTITY]]*(1-InputData[[#This Row],[DISCOUNT %]])</f>
        <v>1296</v>
      </c>
      <c r="N284">
        <f>DAY(InputData[[#This Row],[DATE]])</f>
        <v>23</v>
      </c>
      <c r="O284" t="str">
        <f>TEXT(InputData[[#This Row],[DATE]],"mmm")</f>
        <v>Jan</v>
      </c>
      <c r="P284">
        <f>YEAR(InputData[[#This Row],[DATE]])</f>
        <v>2022</v>
      </c>
    </row>
    <row r="285" spans="1:16" x14ac:dyDescent="0.3">
      <c r="A285" s="3">
        <v>44585</v>
      </c>
      <c r="B285" s="4" t="s">
        <v>69</v>
      </c>
      <c r="C285" s="5">
        <v>15</v>
      </c>
      <c r="D285" s="5" t="s">
        <v>106</v>
      </c>
      <c r="E285" s="5" t="s">
        <v>106</v>
      </c>
      <c r="F285" s="6">
        <v>0</v>
      </c>
      <c r="G285" t="str">
        <f>VLOOKUP(InputData[[#This Row],[PRODUCT ID]],MasterData[],2,)</f>
        <v>Product30</v>
      </c>
      <c r="H285" t="str">
        <f>VLOOKUP(InputData[[#This Row],[PRODUCT ID]],MasterData[],3,)</f>
        <v>Category04</v>
      </c>
      <c r="I285" t="str">
        <f>VLOOKUP(InputData[[#This Row],[PRODUCT ID]],MasterData[],4,)</f>
        <v>Ft</v>
      </c>
      <c r="J285" s="7">
        <f>VLOOKUP(InputData[[#This Row],[PRODUCT ID]],MasterData[],5,)</f>
        <v>148</v>
      </c>
      <c r="K285" s="7">
        <f>VLOOKUP(InputData[[#This Row],[PRODUCT ID]],MasterData[],6,)</f>
        <v>201.28</v>
      </c>
      <c r="L285" s="7">
        <f>InputData[[#This Row],[BUYING PRIZE]]*InputData[[#This Row],[QUANTITY]]</f>
        <v>2220</v>
      </c>
      <c r="M285" s="7">
        <f>InputData[[#This Row],[SELLING PRICE]]*InputData[[#This Row],[QUANTITY]]*(1-InputData[[#This Row],[DISCOUNT %]])</f>
        <v>3019.2</v>
      </c>
      <c r="N285">
        <f>DAY(InputData[[#This Row],[DATE]])</f>
        <v>24</v>
      </c>
      <c r="O285" t="str">
        <f>TEXT(InputData[[#This Row],[DATE]],"mmm")</f>
        <v>Jan</v>
      </c>
      <c r="P285">
        <f>YEAR(InputData[[#This Row],[DATE]])</f>
        <v>2022</v>
      </c>
    </row>
    <row r="286" spans="1:16" x14ac:dyDescent="0.3">
      <c r="A286" s="3">
        <v>44586</v>
      </c>
      <c r="B286" s="4" t="s">
        <v>41</v>
      </c>
      <c r="C286" s="5">
        <v>14</v>
      </c>
      <c r="D286" s="5" t="s">
        <v>108</v>
      </c>
      <c r="E286" s="5" t="s">
        <v>107</v>
      </c>
      <c r="F286" s="6">
        <v>0</v>
      </c>
      <c r="G286" t="str">
        <f>VLOOKUP(InputData[[#This Row],[PRODUCT ID]],MasterData[],2,)</f>
        <v>Product17</v>
      </c>
      <c r="H286" t="str">
        <f>VLOOKUP(InputData[[#This Row],[PRODUCT ID]],MasterData[],3,)</f>
        <v>Category02</v>
      </c>
      <c r="I286" t="str">
        <f>VLOOKUP(InputData[[#This Row],[PRODUCT ID]],MasterData[],4,)</f>
        <v>Ft</v>
      </c>
      <c r="J286" s="7">
        <f>VLOOKUP(InputData[[#This Row],[PRODUCT ID]],MasterData[],5,)</f>
        <v>134</v>
      </c>
      <c r="K286" s="7">
        <f>VLOOKUP(InputData[[#This Row],[PRODUCT ID]],MasterData[],6,)</f>
        <v>156.78</v>
      </c>
      <c r="L286" s="7">
        <f>InputData[[#This Row],[BUYING PRIZE]]*InputData[[#This Row],[QUANTITY]]</f>
        <v>1876</v>
      </c>
      <c r="M286" s="7">
        <f>InputData[[#This Row],[SELLING PRICE]]*InputData[[#This Row],[QUANTITY]]*(1-InputData[[#This Row],[DISCOUNT %]])</f>
        <v>2194.92</v>
      </c>
      <c r="N286">
        <f>DAY(InputData[[#This Row],[DATE]])</f>
        <v>25</v>
      </c>
      <c r="O286" t="str">
        <f>TEXT(InputData[[#This Row],[DATE]],"mmm")</f>
        <v>Jan</v>
      </c>
      <c r="P286">
        <f>YEAR(InputData[[#This Row],[DATE]])</f>
        <v>2022</v>
      </c>
    </row>
    <row r="287" spans="1:16" x14ac:dyDescent="0.3">
      <c r="A287" s="3">
        <v>44589</v>
      </c>
      <c r="B287" s="4" t="s">
        <v>39</v>
      </c>
      <c r="C287" s="5">
        <v>11</v>
      </c>
      <c r="D287" s="5" t="s">
        <v>108</v>
      </c>
      <c r="E287" s="5" t="s">
        <v>106</v>
      </c>
      <c r="F287" s="6">
        <v>0</v>
      </c>
      <c r="G287" t="str">
        <f>VLOOKUP(InputData[[#This Row],[PRODUCT ID]],MasterData[],2,)</f>
        <v>Product16</v>
      </c>
      <c r="H287" t="str">
        <f>VLOOKUP(InputData[[#This Row],[PRODUCT ID]],MasterData[],3,)</f>
        <v>Category02</v>
      </c>
      <c r="I287" t="str">
        <f>VLOOKUP(InputData[[#This Row],[PRODUCT ID]],MasterData[],4,)</f>
        <v>No.</v>
      </c>
      <c r="J287" s="7">
        <f>VLOOKUP(InputData[[#This Row],[PRODUCT ID]],MasterData[],5,)</f>
        <v>13</v>
      </c>
      <c r="K287" s="7">
        <f>VLOOKUP(InputData[[#This Row],[PRODUCT ID]],MasterData[],6,)</f>
        <v>16.64</v>
      </c>
      <c r="L287" s="7">
        <f>InputData[[#This Row],[BUYING PRIZE]]*InputData[[#This Row],[QUANTITY]]</f>
        <v>143</v>
      </c>
      <c r="M287" s="7">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3">
      <c r="A288" s="3">
        <v>44592</v>
      </c>
      <c r="B288" s="4" t="s">
        <v>54</v>
      </c>
      <c r="C288" s="5">
        <v>6</v>
      </c>
      <c r="D288" s="5" t="s">
        <v>106</v>
      </c>
      <c r="E288" s="5" t="s">
        <v>107</v>
      </c>
      <c r="F288" s="6">
        <v>0</v>
      </c>
      <c r="G288" t="str">
        <f>VLOOKUP(InputData[[#This Row],[PRODUCT ID]],MasterData[],2,)</f>
        <v>Product23</v>
      </c>
      <c r="H288" t="str">
        <f>VLOOKUP(InputData[[#This Row],[PRODUCT ID]],MasterData[],3,)</f>
        <v>Category03</v>
      </c>
      <c r="I288" t="str">
        <f>VLOOKUP(InputData[[#This Row],[PRODUCT ID]],MasterData[],4,)</f>
        <v>Ft</v>
      </c>
      <c r="J288" s="7">
        <f>VLOOKUP(InputData[[#This Row],[PRODUCT ID]],MasterData[],5,)</f>
        <v>141</v>
      </c>
      <c r="K288" s="7">
        <f>VLOOKUP(InputData[[#This Row],[PRODUCT ID]],MasterData[],6,)</f>
        <v>149.46</v>
      </c>
      <c r="L288" s="7">
        <f>InputData[[#This Row],[BUYING PRIZE]]*InputData[[#This Row],[QUANTITY]]</f>
        <v>846</v>
      </c>
      <c r="M288" s="7">
        <f>InputData[[#This Row],[SELLING PRICE]]*InputData[[#This Row],[QUANTITY]]*(1-InputData[[#This Row],[DISCOUNT %]])</f>
        <v>896.76</v>
      </c>
      <c r="N288">
        <f>DAY(InputData[[#This Row],[DATE]])</f>
        <v>31</v>
      </c>
      <c r="O288" t="str">
        <f>TEXT(InputData[[#This Row],[DATE]],"mmm")</f>
        <v>Jan</v>
      </c>
      <c r="P288">
        <f>YEAR(InputData[[#This Row],[DATE]])</f>
        <v>2022</v>
      </c>
    </row>
    <row r="289" spans="1:16" x14ac:dyDescent="0.3">
      <c r="A289" s="3">
        <v>44592</v>
      </c>
      <c r="B289" s="4" t="s">
        <v>92</v>
      </c>
      <c r="C289" s="5">
        <v>9</v>
      </c>
      <c r="D289" s="5" t="s">
        <v>108</v>
      </c>
      <c r="E289" s="5" t="s">
        <v>107</v>
      </c>
      <c r="F289" s="6">
        <v>0</v>
      </c>
      <c r="G289" t="str">
        <f>VLOOKUP(InputData[[#This Row],[PRODUCT ID]],MasterData[],2,)</f>
        <v>Product41</v>
      </c>
      <c r="H289" t="str">
        <f>VLOOKUP(InputData[[#This Row],[PRODUCT ID]],MasterData[],3,)</f>
        <v>Category05</v>
      </c>
      <c r="I289" t="str">
        <f>VLOOKUP(InputData[[#This Row],[PRODUCT ID]],MasterData[],4,)</f>
        <v>Ft</v>
      </c>
      <c r="J289" s="7">
        <f>VLOOKUP(InputData[[#This Row],[PRODUCT ID]],MasterData[],5,)</f>
        <v>138</v>
      </c>
      <c r="K289" s="7">
        <f>VLOOKUP(InputData[[#This Row],[PRODUCT ID]],MasterData[],6,)</f>
        <v>173.88</v>
      </c>
      <c r="L289" s="7">
        <f>InputData[[#This Row],[BUYING PRIZE]]*InputData[[#This Row],[QUANTITY]]</f>
        <v>1242</v>
      </c>
      <c r="M289" s="7">
        <f>InputData[[#This Row],[SELLING PRICE]]*InputData[[#This Row],[QUANTITY]]*(1-InputData[[#This Row],[DISCOUNT %]])</f>
        <v>1564.92</v>
      </c>
      <c r="N289">
        <f>DAY(InputData[[#This Row],[DATE]])</f>
        <v>31</v>
      </c>
      <c r="O289" t="str">
        <f>TEXT(InputData[[#This Row],[DATE]],"mmm")</f>
        <v>Jan</v>
      </c>
      <c r="P289">
        <f>YEAR(InputData[[#This Row],[DATE]])</f>
        <v>2022</v>
      </c>
    </row>
    <row r="290" spans="1:16" x14ac:dyDescent="0.3">
      <c r="A290" s="3">
        <v>44593</v>
      </c>
      <c r="B290" s="4" t="s">
        <v>16</v>
      </c>
      <c r="C290" s="5">
        <v>9</v>
      </c>
      <c r="D290" s="5" t="s">
        <v>108</v>
      </c>
      <c r="E290" s="5" t="s">
        <v>107</v>
      </c>
      <c r="F290" s="6">
        <v>0</v>
      </c>
      <c r="G290" t="str">
        <f>VLOOKUP(InputData[[#This Row],[PRODUCT ID]],MasterData[],2,)</f>
        <v>Product05</v>
      </c>
      <c r="H290" t="str">
        <f>VLOOKUP(InputData[[#This Row],[PRODUCT ID]],MasterData[],3,)</f>
        <v>Category01</v>
      </c>
      <c r="I290" t="str">
        <f>VLOOKUP(InputData[[#This Row],[PRODUCT ID]],MasterData[],4,)</f>
        <v>Ft</v>
      </c>
      <c r="J290" s="7">
        <f>VLOOKUP(InputData[[#This Row],[PRODUCT ID]],MasterData[],5,)</f>
        <v>133</v>
      </c>
      <c r="K290" s="7">
        <f>VLOOKUP(InputData[[#This Row],[PRODUCT ID]],MasterData[],6,)</f>
        <v>155.61000000000001</v>
      </c>
      <c r="L290" s="7">
        <f>InputData[[#This Row],[BUYING PRIZE]]*InputData[[#This Row],[QUANTITY]]</f>
        <v>1197</v>
      </c>
      <c r="M290" s="7">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3">
      <c r="A291" s="3">
        <v>44595</v>
      </c>
      <c r="B291" s="4" t="s">
        <v>35</v>
      </c>
      <c r="C291" s="5">
        <v>8</v>
      </c>
      <c r="D291" s="5" t="s">
        <v>108</v>
      </c>
      <c r="E291" s="5" t="s">
        <v>106</v>
      </c>
      <c r="F291" s="6">
        <v>0</v>
      </c>
      <c r="G291" t="str">
        <f>VLOOKUP(InputData[[#This Row],[PRODUCT ID]],MasterData[],2,)</f>
        <v>Product14</v>
      </c>
      <c r="H291" t="str">
        <f>VLOOKUP(InputData[[#This Row],[PRODUCT ID]],MasterData[],3,)</f>
        <v>Category02</v>
      </c>
      <c r="I291" t="str">
        <f>VLOOKUP(InputData[[#This Row],[PRODUCT ID]],MasterData[],4,)</f>
        <v>Kg</v>
      </c>
      <c r="J291" s="7">
        <f>VLOOKUP(InputData[[#This Row],[PRODUCT ID]],MasterData[],5,)</f>
        <v>112</v>
      </c>
      <c r="K291" s="7">
        <f>VLOOKUP(InputData[[#This Row],[PRODUCT ID]],MasterData[],6,)</f>
        <v>146.72</v>
      </c>
      <c r="L291" s="7">
        <f>InputData[[#This Row],[BUYING PRIZE]]*InputData[[#This Row],[QUANTITY]]</f>
        <v>896</v>
      </c>
      <c r="M291" s="7">
        <f>InputData[[#This Row],[SELLING PRICE]]*InputData[[#This Row],[QUANTITY]]*(1-InputData[[#This Row],[DISCOUNT %]])</f>
        <v>1173.76</v>
      </c>
      <c r="N291">
        <f>DAY(InputData[[#This Row],[DATE]])</f>
        <v>3</v>
      </c>
      <c r="O291" t="str">
        <f>TEXT(InputData[[#This Row],[DATE]],"mmm")</f>
        <v>Feb</v>
      </c>
      <c r="P291">
        <f>YEAR(InputData[[#This Row],[DATE]])</f>
        <v>2022</v>
      </c>
    </row>
    <row r="292" spans="1:16" x14ac:dyDescent="0.3">
      <c r="A292" s="3">
        <v>44597</v>
      </c>
      <c r="B292" s="4" t="s">
        <v>43</v>
      </c>
      <c r="C292" s="5">
        <v>6</v>
      </c>
      <c r="D292" s="5" t="s">
        <v>108</v>
      </c>
      <c r="E292" s="5" t="s">
        <v>107</v>
      </c>
      <c r="F292" s="6">
        <v>0</v>
      </c>
      <c r="G292" t="str">
        <f>VLOOKUP(InputData[[#This Row],[PRODUCT ID]],MasterData[],2,)</f>
        <v>Product18</v>
      </c>
      <c r="H292" t="str">
        <f>VLOOKUP(InputData[[#This Row],[PRODUCT ID]],MasterData[],3,)</f>
        <v>Category02</v>
      </c>
      <c r="I292" t="str">
        <f>VLOOKUP(InputData[[#This Row],[PRODUCT ID]],MasterData[],4,)</f>
        <v>No.</v>
      </c>
      <c r="J292" s="7">
        <f>VLOOKUP(InputData[[#This Row],[PRODUCT ID]],MasterData[],5,)</f>
        <v>37</v>
      </c>
      <c r="K292" s="7">
        <f>VLOOKUP(InputData[[#This Row],[PRODUCT ID]],MasterData[],6,)</f>
        <v>49.21</v>
      </c>
      <c r="L292" s="7">
        <f>InputData[[#This Row],[BUYING PRIZE]]*InputData[[#This Row],[QUANTITY]]</f>
        <v>222</v>
      </c>
      <c r="M292" s="7">
        <f>InputData[[#This Row],[SELLING PRICE]]*InputData[[#This Row],[QUANTITY]]*(1-InputData[[#This Row],[DISCOUNT %]])</f>
        <v>295.26</v>
      </c>
      <c r="N292">
        <f>DAY(InputData[[#This Row],[DATE]])</f>
        <v>5</v>
      </c>
      <c r="O292" t="str">
        <f>TEXT(InputData[[#This Row],[DATE]],"mmm")</f>
        <v>Feb</v>
      </c>
      <c r="P292">
        <f>YEAR(InputData[[#This Row],[DATE]])</f>
        <v>2022</v>
      </c>
    </row>
    <row r="293" spans="1:16" x14ac:dyDescent="0.3">
      <c r="A293" s="3">
        <v>44598</v>
      </c>
      <c r="B293" s="4" t="s">
        <v>10</v>
      </c>
      <c r="C293" s="5">
        <v>6</v>
      </c>
      <c r="D293" s="5" t="s">
        <v>108</v>
      </c>
      <c r="E293" s="5" t="s">
        <v>107</v>
      </c>
      <c r="F293" s="6">
        <v>0</v>
      </c>
      <c r="G293" t="str">
        <f>VLOOKUP(InputData[[#This Row],[PRODUCT ID]],MasterData[],2,)</f>
        <v>Product02</v>
      </c>
      <c r="H293" t="str">
        <f>VLOOKUP(InputData[[#This Row],[PRODUCT ID]],MasterData[],3,)</f>
        <v>Category01</v>
      </c>
      <c r="I293" t="str">
        <f>VLOOKUP(InputData[[#This Row],[PRODUCT ID]],MasterData[],4,)</f>
        <v>Kg</v>
      </c>
      <c r="J293" s="7">
        <f>VLOOKUP(InputData[[#This Row],[PRODUCT ID]],MasterData[],5,)</f>
        <v>105</v>
      </c>
      <c r="K293" s="7">
        <f>VLOOKUP(InputData[[#This Row],[PRODUCT ID]],MasterData[],6,)</f>
        <v>142.80000000000001</v>
      </c>
      <c r="L293" s="7">
        <f>InputData[[#This Row],[BUYING PRIZE]]*InputData[[#This Row],[QUANTITY]]</f>
        <v>630</v>
      </c>
      <c r="M293" s="7">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3">
      <c r="A294" s="3">
        <v>44600</v>
      </c>
      <c r="B294" s="4" t="s">
        <v>16</v>
      </c>
      <c r="C294" s="5">
        <v>11</v>
      </c>
      <c r="D294" s="5" t="s">
        <v>106</v>
      </c>
      <c r="E294" s="5" t="s">
        <v>107</v>
      </c>
      <c r="F294" s="6">
        <v>0</v>
      </c>
      <c r="G294" t="str">
        <f>VLOOKUP(InputData[[#This Row],[PRODUCT ID]],MasterData[],2,)</f>
        <v>Product05</v>
      </c>
      <c r="H294" t="str">
        <f>VLOOKUP(InputData[[#This Row],[PRODUCT ID]],MasterData[],3,)</f>
        <v>Category01</v>
      </c>
      <c r="I294" t="str">
        <f>VLOOKUP(InputData[[#This Row],[PRODUCT ID]],MasterData[],4,)</f>
        <v>Ft</v>
      </c>
      <c r="J294" s="7">
        <f>VLOOKUP(InputData[[#This Row],[PRODUCT ID]],MasterData[],5,)</f>
        <v>133</v>
      </c>
      <c r="K294" s="7">
        <f>VLOOKUP(InputData[[#This Row],[PRODUCT ID]],MasterData[],6,)</f>
        <v>155.61000000000001</v>
      </c>
      <c r="L294" s="7">
        <f>InputData[[#This Row],[BUYING PRIZE]]*InputData[[#This Row],[QUANTITY]]</f>
        <v>1463</v>
      </c>
      <c r="M294" s="7">
        <f>InputData[[#This Row],[SELLING PRICE]]*InputData[[#This Row],[QUANTITY]]*(1-InputData[[#This Row],[DISCOUNT %]])</f>
        <v>1711.71</v>
      </c>
      <c r="N294">
        <f>DAY(InputData[[#This Row],[DATE]])</f>
        <v>8</v>
      </c>
      <c r="O294" t="str">
        <f>TEXT(InputData[[#This Row],[DATE]],"mmm")</f>
        <v>Feb</v>
      </c>
      <c r="P294">
        <f>YEAR(InputData[[#This Row],[DATE]])</f>
        <v>2022</v>
      </c>
    </row>
    <row r="295" spans="1:16" x14ac:dyDescent="0.3">
      <c r="A295" s="3">
        <v>44600</v>
      </c>
      <c r="B295" s="4" t="s">
        <v>14</v>
      </c>
      <c r="C295" s="5">
        <v>3</v>
      </c>
      <c r="D295" s="5" t="s">
        <v>106</v>
      </c>
      <c r="E295" s="5" t="s">
        <v>107</v>
      </c>
      <c r="F295" s="6">
        <v>0</v>
      </c>
      <c r="G295" t="str">
        <f>VLOOKUP(InputData[[#This Row],[PRODUCT ID]],MasterData[],2,)</f>
        <v>Product04</v>
      </c>
      <c r="H295" t="str">
        <f>VLOOKUP(InputData[[#This Row],[PRODUCT ID]],MasterData[],3,)</f>
        <v>Category01</v>
      </c>
      <c r="I295" t="str">
        <f>VLOOKUP(InputData[[#This Row],[PRODUCT ID]],MasterData[],4,)</f>
        <v>Lt</v>
      </c>
      <c r="J295" s="7">
        <f>VLOOKUP(InputData[[#This Row],[PRODUCT ID]],MasterData[],5,)</f>
        <v>44</v>
      </c>
      <c r="K295" s="7">
        <f>VLOOKUP(InputData[[#This Row],[PRODUCT ID]],MasterData[],6,)</f>
        <v>48.84</v>
      </c>
      <c r="L295" s="7">
        <f>InputData[[#This Row],[BUYING PRIZE]]*InputData[[#This Row],[QUANTITY]]</f>
        <v>132</v>
      </c>
      <c r="M295" s="7">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3">
      <c r="A296" s="3">
        <v>44601</v>
      </c>
      <c r="B296" s="4" t="s">
        <v>73</v>
      </c>
      <c r="C296" s="5">
        <v>14</v>
      </c>
      <c r="D296" s="5" t="s">
        <v>106</v>
      </c>
      <c r="E296" s="5" t="s">
        <v>106</v>
      </c>
      <c r="F296" s="6">
        <v>0</v>
      </c>
      <c r="G296" t="str">
        <f>VLOOKUP(InputData[[#This Row],[PRODUCT ID]],MasterData[],2,)</f>
        <v>Product32</v>
      </c>
      <c r="H296" t="str">
        <f>VLOOKUP(InputData[[#This Row],[PRODUCT ID]],MasterData[],3,)</f>
        <v>Category04</v>
      </c>
      <c r="I296" t="str">
        <f>VLOOKUP(InputData[[#This Row],[PRODUCT ID]],MasterData[],4,)</f>
        <v>Kg</v>
      </c>
      <c r="J296" s="7">
        <f>VLOOKUP(InputData[[#This Row],[PRODUCT ID]],MasterData[],5,)</f>
        <v>89</v>
      </c>
      <c r="K296" s="7">
        <f>VLOOKUP(InputData[[#This Row],[PRODUCT ID]],MasterData[],6,)</f>
        <v>117.48</v>
      </c>
      <c r="L296" s="7">
        <f>InputData[[#This Row],[BUYING PRIZE]]*InputData[[#This Row],[QUANTITY]]</f>
        <v>1246</v>
      </c>
      <c r="M296" s="7">
        <f>InputData[[#This Row],[SELLING PRICE]]*InputData[[#This Row],[QUANTITY]]*(1-InputData[[#This Row],[DISCOUNT %]])</f>
        <v>1644.72</v>
      </c>
      <c r="N296">
        <f>DAY(InputData[[#This Row],[DATE]])</f>
        <v>9</v>
      </c>
      <c r="O296" t="str">
        <f>TEXT(InputData[[#This Row],[DATE]],"mmm")</f>
        <v>Feb</v>
      </c>
      <c r="P296">
        <f>YEAR(InputData[[#This Row],[DATE]])</f>
        <v>2022</v>
      </c>
    </row>
    <row r="297" spans="1:16" x14ac:dyDescent="0.3">
      <c r="A297" s="3">
        <v>44604</v>
      </c>
      <c r="B297" s="4" t="s">
        <v>26</v>
      </c>
      <c r="C297" s="5">
        <v>13</v>
      </c>
      <c r="D297" s="5" t="s">
        <v>108</v>
      </c>
      <c r="E297" s="5" t="s">
        <v>107</v>
      </c>
      <c r="F297" s="6">
        <v>0</v>
      </c>
      <c r="G297" t="str">
        <f>VLOOKUP(InputData[[#This Row],[PRODUCT ID]],MasterData[],2,)</f>
        <v>Product10</v>
      </c>
      <c r="H297" t="str">
        <f>VLOOKUP(InputData[[#This Row],[PRODUCT ID]],MasterData[],3,)</f>
        <v>Category02</v>
      </c>
      <c r="I297" t="str">
        <f>VLOOKUP(InputData[[#This Row],[PRODUCT ID]],MasterData[],4,)</f>
        <v>Ft</v>
      </c>
      <c r="J297" s="7">
        <f>VLOOKUP(InputData[[#This Row],[PRODUCT ID]],MasterData[],5,)</f>
        <v>148</v>
      </c>
      <c r="K297" s="7">
        <f>VLOOKUP(InputData[[#This Row],[PRODUCT ID]],MasterData[],6,)</f>
        <v>164.28</v>
      </c>
      <c r="L297" s="7">
        <f>InputData[[#This Row],[BUYING PRIZE]]*InputData[[#This Row],[QUANTITY]]</f>
        <v>1924</v>
      </c>
      <c r="M297" s="7">
        <f>InputData[[#This Row],[SELLING PRICE]]*InputData[[#This Row],[QUANTITY]]*(1-InputData[[#This Row],[DISCOUNT %]])</f>
        <v>2135.64</v>
      </c>
      <c r="N297">
        <f>DAY(InputData[[#This Row],[DATE]])</f>
        <v>12</v>
      </c>
      <c r="O297" t="str">
        <f>TEXT(InputData[[#This Row],[DATE]],"mmm")</f>
        <v>Feb</v>
      </c>
      <c r="P297">
        <f>YEAR(InputData[[#This Row],[DATE]])</f>
        <v>2022</v>
      </c>
    </row>
    <row r="298" spans="1:16" x14ac:dyDescent="0.3">
      <c r="A298" s="3">
        <v>44606</v>
      </c>
      <c r="B298" s="4" t="s">
        <v>60</v>
      </c>
      <c r="C298" s="5">
        <v>8</v>
      </c>
      <c r="D298" s="5" t="s">
        <v>106</v>
      </c>
      <c r="E298" s="5" t="s">
        <v>107</v>
      </c>
      <c r="F298" s="6">
        <v>0</v>
      </c>
      <c r="G298" t="str">
        <f>VLOOKUP(InputData[[#This Row],[PRODUCT ID]],MasterData[],2,)</f>
        <v>Product26</v>
      </c>
      <c r="H298" t="str">
        <f>VLOOKUP(InputData[[#This Row],[PRODUCT ID]],MasterData[],3,)</f>
        <v>Category04</v>
      </c>
      <c r="I298" t="str">
        <f>VLOOKUP(InputData[[#This Row],[PRODUCT ID]],MasterData[],4,)</f>
        <v>No.</v>
      </c>
      <c r="J298" s="7">
        <f>VLOOKUP(InputData[[#This Row],[PRODUCT ID]],MasterData[],5,)</f>
        <v>18</v>
      </c>
      <c r="K298" s="7">
        <f>VLOOKUP(InputData[[#This Row],[PRODUCT ID]],MasterData[],6,)</f>
        <v>24.66</v>
      </c>
      <c r="L298" s="7">
        <f>InputData[[#This Row],[BUYING PRIZE]]*InputData[[#This Row],[QUANTITY]]</f>
        <v>144</v>
      </c>
      <c r="M298" s="7">
        <f>InputData[[#This Row],[SELLING PRICE]]*InputData[[#This Row],[QUANTITY]]*(1-InputData[[#This Row],[DISCOUNT %]])</f>
        <v>197.28</v>
      </c>
      <c r="N298">
        <f>DAY(InputData[[#This Row],[DATE]])</f>
        <v>14</v>
      </c>
      <c r="O298" t="str">
        <f>TEXT(InputData[[#This Row],[DATE]],"mmm")</f>
        <v>Feb</v>
      </c>
      <c r="P298">
        <f>YEAR(InputData[[#This Row],[DATE]])</f>
        <v>2022</v>
      </c>
    </row>
    <row r="299" spans="1:16" x14ac:dyDescent="0.3">
      <c r="A299" s="3">
        <v>44606</v>
      </c>
      <c r="B299" s="4" t="s">
        <v>65</v>
      </c>
      <c r="C299" s="5">
        <v>3</v>
      </c>
      <c r="D299" s="5" t="s">
        <v>108</v>
      </c>
      <c r="E299" s="5" t="s">
        <v>107</v>
      </c>
      <c r="F299" s="6">
        <v>0</v>
      </c>
      <c r="G299" t="str">
        <f>VLOOKUP(InputData[[#This Row],[PRODUCT ID]],MasterData[],2,)</f>
        <v>Product28</v>
      </c>
      <c r="H299" t="str">
        <f>VLOOKUP(InputData[[#This Row],[PRODUCT ID]],MasterData[],3,)</f>
        <v>Category04</v>
      </c>
      <c r="I299" t="str">
        <f>VLOOKUP(InputData[[#This Row],[PRODUCT ID]],MasterData[],4,)</f>
        <v>No.</v>
      </c>
      <c r="J299" s="7">
        <f>VLOOKUP(InputData[[#This Row],[PRODUCT ID]],MasterData[],5,)</f>
        <v>37</v>
      </c>
      <c r="K299" s="7">
        <f>VLOOKUP(InputData[[#This Row],[PRODUCT ID]],MasterData[],6,)</f>
        <v>41.81</v>
      </c>
      <c r="L299" s="7">
        <f>InputData[[#This Row],[BUYING PRIZE]]*InputData[[#This Row],[QUANTITY]]</f>
        <v>111</v>
      </c>
      <c r="M299" s="7">
        <f>InputData[[#This Row],[SELLING PRICE]]*InputData[[#This Row],[QUANTITY]]*(1-InputData[[#This Row],[DISCOUNT %]])</f>
        <v>125.43</v>
      </c>
      <c r="N299">
        <f>DAY(InputData[[#This Row],[DATE]])</f>
        <v>14</v>
      </c>
      <c r="O299" t="str">
        <f>TEXT(InputData[[#This Row],[DATE]],"mmm")</f>
        <v>Feb</v>
      </c>
      <c r="P299">
        <f>YEAR(InputData[[#This Row],[DATE]])</f>
        <v>2022</v>
      </c>
    </row>
    <row r="300" spans="1:16" x14ac:dyDescent="0.3">
      <c r="A300" s="3">
        <v>44608</v>
      </c>
      <c r="B300" s="4" t="s">
        <v>73</v>
      </c>
      <c r="C300" s="5">
        <v>1</v>
      </c>
      <c r="D300" s="5" t="s">
        <v>106</v>
      </c>
      <c r="E300" s="5" t="s">
        <v>107</v>
      </c>
      <c r="F300" s="6">
        <v>0</v>
      </c>
      <c r="G300" t="str">
        <f>VLOOKUP(InputData[[#This Row],[PRODUCT ID]],MasterData[],2,)</f>
        <v>Product32</v>
      </c>
      <c r="H300" t="str">
        <f>VLOOKUP(InputData[[#This Row],[PRODUCT ID]],MasterData[],3,)</f>
        <v>Category04</v>
      </c>
      <c r="I300" t="str">
        <f>VLOOKUP(InputData[[#This Row],[PRODUCT ID]],MasterData[],4,)</f>
        <v>Kg</v>
      </c>
      <c r="J300" s="7">
        <f>VLOOKUP(InputData[[#This Row],[PRODUCT ID]],MasterData[],5,)</f>
        <v>89</v>
      </c>
      <c r="K300" s="7">
        <f>VLOOKUP(InputData[[#This Row],[PRODUCT ID]],MasterData[],6,)</f>
        <v>117.48</v>
      </c>
      <c r="L300" s="7">
        <f>InputData[[#This Row],[BUYING PRIZE]]*InputData[[#This Row],[QUANTITY]]</f>
        <v>89</v>
      </c>
      <c r="M300" s="7">
        <f>InputData[[#This Row],[SELLING PRICE]]*InputData[[#This Row],[QUANTITY]]*(1-InputData[[#This Row],[DISCOUNT %]])</f>
        <v>117.48</v>
      </c>
      <c r="N300">
        <f>DAY(InputData[[#This Row],[DATE]])</f>
        <v>16</v>
      </c>
      <c r="O300" t="str">
        <f>TEXT(InputData[[#This Row],[DATE]],"mmm")</f>
        <v>Feb</v>
      </c>
      <c r="P300">
        <f>YEAR(InputData[[#This Row],[DATE]])</f>
        <v>2022</v>
      </c>
    </row>
    <row r="301" spans="1:16" x14ac:dyDescent="0.3">
      <c r="A301" s="3">
        <v>44611</v>
      </c>
      <c r="B301" s="4" t="s">
        <v>10</v>
      </c>
      <c r="C301" s="5">
        <v>13</v>
      </c>
      <c r="D301" s="5" t="s">
        <v>106</v>
      </c>
      <c r="E301" s="5" t="s">
        <v>107</v>
      </c>
      <c r="F301" s="6">
        <v>0</v>
      </c>
      <c r="G301" t="str">
        <f>VLOOKUP(InputData[[#This Row],[PRODUCT ID]],MasterData[],2,)</f>
        <v>Product02</v>
      </c>
      <c r="H301" t="str">
        <f>VLOOKUP(InputData[[#This Row],[PRODUCT ID]],MasterData[],3,)</f>
        <v>Category01</v>
      </c>
      <c r="I301" t="str">
        <f>VLOOKUP(InputData[[#This Row],[PRODUCT ID]],MasterData[],4,)</f>
        <v>Kg</v>
      </c>
      <c r="J301" s="7">
        <f>VLOOKUP(InputData[[#This Row],[PRODUCT ID]],MasterData[],5,)</f>
        <v>105</v>
      </c>
      <c r="K301" s="7">
        <f>VLOOKUP(InputData[[#This Row],[PRODUCT ID]],MasterData[],6,)</f>
        <v>142.80000000000001</v>
      </c>
      <c r="L301" s="7">
        <f>InputData[[#This Row],[BUYING PRIZE]]*InputData[[#This Row],[QUANTITY]]</f>
        <v>1365</v>
      </c>
      <c r="M301" s="7">
        <f>InputData[[#This Row],[SELLING PRICE]]*InputData[[#This Row],[QUANTITY]]*(1-InputData[[#This Row],[DISCOUNT %]])</f>
        <v>1856.4</v>
      </c>
      <c r="N301">
        <f>DAY(InputData[[#This Row],[DATE]])</f>
        <v>19</v>
      </c>
      <c r="O301" t="str">
        <f>TEXT(InputData[[#This Row],[DATE]],"mmm")</f>
        <v>Feb</v>
      </c>
      <c r="P301">
        <f>YEAR(InputData[[#This Row],[DATE]])</f>
        <v>2022</v>
      </c>
    </row>
    <row r="302" spans="1:16" x14ac:dyDescent="0.3">
      <c r="A302" s="3">
        <v>44612</v>
      </c>
      <c r="B302" s="4" t="s">
        <v>31</v>
      </c>
      <c r="C302" s="5">
        <v>6</v>
      </c>
      <c r="D302" s="5" t="s">
        <v>108</v>
      </c>
      <c r="E302" s="5" t="s">
        <v>107</v>
      </c>
      <c r="F302" s="6">
        <v>0</v>
      </c>
      <c r="G302" t="str">
        <f>VLOOKUP(InputData[[#This Row],[PRODUCT ID]],MasterData[],2,)</f>
        <v>Product12</v>
      </c>
      <c r="H302" t="str">
        <f>VLOOKUP(InputData[[#This Row],[PRODUCT ID]],MasterData[],3,)</f>
        <v>Category02</v>
      </c>
      <c r="I302" t="str">
        <f>VLOOKUP(InputData[[#This Row],[PRODUCT ID]],MasterData[],4,)</f>
        <v>Kg</v>
      </c>
      <c r="J302" s="7">
        <f>VLOOKUP(InputData[[#This Row],[PRODUCT ID]],MasterData[],5,)</f>
        <v>73</v>
      </c>
      <c r="K302" s="7">
        <f>VLOOKUP(InputData[[#This Row],[PRODUCT ID]],MasterData[],6,)</f>
        <v>94.17</v>
      </c>
      <c r="L302" s="7">
        <f>InputData[[#This Row],[BUYING PRIZE]]*InputData[[#This Row],[QUANTITY]]</f>
        <v>438</v>
      </c>
      <c r="M302" s="7">
        <f>InputData[[#This Row],[SELLING PRICE]]*InputData[[#This Row],[QUANTITY]]*(1-InputData[[#This Row],[DISCOUNT %]])</f>
        <v>565.02</v>
      </c>
      <c r="N302">
        <f>DAY(InputData[[#This Row],[DATE]])</f>
        <v>20</v>
      </c>
      <c r="O302" t="str">
        <f>TEXT(InputData[[#This Row],[DATE]],"mmm")</f>
        <v>Feb</v>
      </c>
      <c r="P302">
        <f>YEAR(InputData[[#This Row],[DATE]])</f>
        <v>2022</v>
      </c>
    </row>
    <row r="303" spans="1:16" x14ac:dyDescent="0.3">
      <c r="A303" s="3">
        <v>44615</v>
      </c>
      <c r="B303" s="4" t="s">
        <v>33</v>
      </c>
      <c r="C303" s="5">
        <v>6</v>
      </c>
      <c r="D303" s="5" t="s">
        <v>106</v>
      </c>
      <c r="E303" s="5" t="s">
        <v>106</v>
      </c>
      <c r="F303" s="6">
        <v>0</v>
      </c>
      <c r="G303" t="str">
        <f>VLOOKUP(InputData[[#This Row],[PRODUCT ID]],MasterData[],2,)</f>
        <v>Product13</v>
      </c>
      <c r="H303" t="str">
        <f>VLOOKUP(InputData[[#This Row],[PRODUCT ID]],MasterData[],3,)</f>
        <v>Category02</v>
      </c>
      <c r="I303" t="str">
        <f>VLOOKUP(InputData[[#This Row],[PRODUCT ID]],MasterData[],4,)</f>
        <v>Kg</v>
      </c>
      <c r="J303" s="7">
        <f>VLOOKUP(InputData[[#This Row],[PRODUCT ID]],MasterData[],5,)</f>
        <v>112</v>
      </c>
      <c r="K303" s="7">
        <f>VLOOKUP(InputData[[#This Row],[PRODUCT ID]],MasterData[],6,)</f>
        <v>122.08</v>
      </c>
      <c r="L303" s="7">
        <f>InputData[[#This Row],[BUYING PRIZE]]*InputData[[#This Row],[QUANTITY]]</f>
        <v>672</v>
      </c>
      <c r="M303" s="7">
        <f>InputData[[#This Row],[SELLING PRICE]]*InputData[[#This Row],[QUANTITY]]*(1-InputData[[#This Row],[DISCOUNT %]])</f>
        <v>732.48</v>
      </c>
      <c r="N303">
        <f>DAY(InputData[[#This Row],[DATE]])</f>
        <v>23</v>
      </c>
      <c r="O303" t="str">
        <f>TEXT(InputData[[#This Row],[DATE]],"mmm")</f>
        <v>Feb</v>
      </c>
      <c r="P303">
        <f>YEAR(InputData[[#This Row],[DATE]])</f>
        <v>2022</v>
      </c>
    </row>
    <row r="304" spans="1:16" x14ac:dyDescent="0.3">
      <c r="A304" s="3">
        <v>44615</v>
      </c>
      <c r="B304" s="4" t="s">
        <v>39</v>
      </c>
      <c r="C304" s="5">
        <v>15</v>
      </c>
      <c r="D304" s="5" t="s">
        <v>106</v>
      </c>
      <c r="E304" s="5" t="s">
        <v>107</v>
      </c>
      <c r="F304" s="6">
        <v>0</v>
      </c>
      <c r="G304" t="str">
        <f>VLOOKUP(InputData[[#This Row],[PRODUCT ID]],MasterData[],2,)</f>
        <v>Product16</v>
      </c>
      <c r="H304" t="str">
        <f>VLOOKUP(InputData[[#This Row],[PRODUCT ID]],MasterData[],3,)</f>
        <v>Category02</v>
      </c>
      <c r="I304" t="str">
        <f>VLOOKUP(InputData[[#This Row],[PRODUCT ID]],MasterData[],4,)</f>
        <v>No.</v>
      </c>
      <c r="J304" s="7">
        <f>VLOOKUP(InputData[[#This Row],[PRODUCT ID]],MasterData[],5,)</f>
        <v>13</v>
      </c>
      <c r="K304" s="7">
        <f>VLOOKUP(InputData[[#This Row],[PRODUCT ID]],MasterData[],6,)</f>
        <v>16.64</v>
      </c>
      <c r="L304" s="7">
        <f>InputData[[#This Row],[BUYING PRIZE]]*InputData[[#This Row],[QUANTITY]]</f>
        <v>195</v>
      </c>
      <c r="M304" s="7">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3">
      <c r="A305" s="3">
        <v>44615</v>
      </c>
      <c r="B305" s="4" t="s">
        <v>81</v>
      </c>
      <c r="C305" s="5">
        <v>8</v>
      </c>
      <c r="D305" s="5" t="s">
        <v>108</v>
      </c>
      <c r="E305" s="5" t="s">
        <v>106</v>
      </c>
      <c r="F305" s="6">
        <v>0</v>
      </c>
      <c r="G305" t="str">
        <f>VLOOKUP(InputData[[#This Row],[PRODUCT ID]],MasterData[],2,)</f>
        <v>Product36</v>
      </c>
      <c r="H305" t="str">
        <f>VLOOKUP(InputData[[#This Row],[PRODUCT ID]],MasterData[],3,)</f>
        <v>Category04</v>
      </c>
      <c r="I305" t="str">
        <f>VLOOKUP(InputData[[#This Row],[PRODUCT ID]],MasterData[],4,)</f>
        <v>Kg</v>
      </c>
      <c r="J305" s="7">
        <f>VLOOKUP(InputData[[#This Row],[PRODUCT ID]],MasterData[],5,)</f>
        <v>90</v>
      </c>
      <c r="K305" s="7">
        <f>VLOOKUP(InputData[[#This Row],[PRODUCT ID]],MasterData[],6,)</f>
        <v>96.3</v>
      </c>
      <c r="L305" s="7">
        <f>InputData[[#This Row],[BUYING PRIZE]]*InputData[[#This Row],[QUANTITY]]</f>
        <v>720</v>
      </c>
      <c r="M305" s="7">
        <f>InputData[[#This Row],[SELLING PRICE]]*InputData[[#This Row],[QUANTITY]]*(1-InputData[[#This Row],[DISCOUNT %]])</f>
        <v>770.4</v>
      </c>
      <c r="N305">
        <f>DAY(InputData[[#This Row],[DATE]])</f>
        <v>23</v>
      </c>
      <c r="O305" t="str">
        <f>TEXT(InputData[[#This Row],[DATE]],"mmm")</f>
        <v>Feb</v>
      </c>
      <c r="P305">
        <f>YEAR(InputData[[#This Row],[DATE]])</f>
        <v>2022</v>
      </c>
    </row>
    <row r="306" spans="1:16" x14ac:dyDescent="0.3">
      <c r="A306" s="3">
        <v>44619</v>
      </c>
      <c r="B306" s="4" t="s">
        <v>31</v>
      </c>
      <c r="C306" s="5">
        <v>7</v>
      </c>
      <c r="D306" s="5" t="s">
        <v>108</v>
      </c>
      <c r="E306" s="5" t="s">
        <v>107</v>
      </c>
      <c r="F306" s="6">
        <v>0</v>
      </c>
      <c r="G306" t="str">
        <f>VLOOKUP(InputData[[#This Row],[PRODUCT ID]],MasterData[],2,)</f>
        <v>Product12</v>
      </c>
      <c r="H306" t="str">
        <f>VLOOKUP(InputData[[#This Row],[PRODUCT ID]],MasterData[],3,)</f>
        <v>Category02</v>
      </c>
      <c r="I306" t="str">
        <f>VLOOKUP(InputData[[#This Row],[PRODUCT ID]],MasterData[],4,)</f>
        <v>Kg</v>
      </c>
      <c r="J306" s="7">
        <f>VLOOKUP(InputData[[#This Row],[PRODUCT ID]],MasterData[],5,)</f>
        <v>73</v>
      </c>
      <c r="K306" s="7">
        <f>VLOOKUP(InputData[[#This Row],[PRODUCT ID]],MasterData[],6,)</f>
        <v>94.17</v>
      </c>
      <c r="L306" s="7">
        <f>InputData[[#This Row],[BUYING PRIZE]]*InputData[[#This Row],[QUANTITY]]</f>
        <v>511</v>
      </c>
      <c r="M306" s="7">
        <f>InputData[[#This Row],[SELLING PRICE]]*InputData[[#This Row],[QUANTITY]]*(1-InputData[[#This Row],[DISCOUNT %]])</f>
        <v>659.19</v>
      </c>
      <c r="N306">
        <f>DAY(InputData[[#This Row],[DATE]])</f>
        <v>27</v>
      </c>
      <c r="O306" t="str">
        <f>TEXT(InputData[[#This Row],[DATE]],"mmm")</f>
        <v>Feb</v>
      </c>
      <c r="P306">
        <f>YEAR(InputData[[#This Row],[DATE]])</f>
        <v>2022</v>
      </c>
    </row>
    <row r="307" spans="1:16" x14ac:dyDescent="0.3">
      <c r="A307" s="3">
        <v>44619</v>
      </c>
      <c r="B307" s="4" t="s">
        <v>16</v>
      </c>
      <c r="C307" s="5">
        <v>15</v>
      </c>
      <c r="D307" s="5" t="s">
        <v>108</v>
      </c>
      <c r="E307" s="5" t="s">
        <v>106</v>
      </c>
      <c r="F307" s="6">
        <v>0</v>
      </c>
      <c r="G307" t="str">
        <f>VLOOKUP(InputData[[#This Row],[PRODUCT ID]],MasterData[],2,)</f>
        <v>Product05</v>
      </c>
      <c r="H307" t="str">
        <f>VLOOKUP(InputData[[#This Row],[PRODUCT ID]],MasterData[],3,)</f>
        <v>Category01</v>
      </c>
      <c r="I307" t="str">
        <f>VLOOKUP(InputData[[#This Row],[PRODUCT ID]],MasterData[],4,)</f>
        <v>Ft</v>
      </c>
      <c r="J307" s="7">
        <f>VLOOKUP(InputData[[#This Row],[PRODUCT ID]],MasterData[],5,)</f>
        <v>133</v>
      </c>
      <c r="K307" s="7">
        <f>VLOOKUP(InputData[[#This Row],[PRODUCT ID]],MasterData[],6,)</f>
        <v>155.61000000000001</v>
      </c>
      <c r="L307" s="7">
        <f>InputData[[#This Row],[BUYING PRIZE]]*InputData[[#This Row],[QUANTITY]]</f>
        <v>1995</v>
      </c>
      <c r="M307" s="7">
        <f>InputData[[#This Row],[SELLING PRICE]]*InputData[[#This Row],[QUANTITY]]*(1-InputData[[#This Row],[DISCOUNT %]])</f>
        <v>2334.15</v>
      </c>
      <c r="N307">
        <f>DAY(InputData[[#This Row],[DATE]])</f>
        <v>27</v>
      </c>
      <c r="O307" t="str">
        <f>TEXT(InputData[[#This Row],[DATE]],"mmm")</f>
        <v>Feb</v>
      </c>
      <c r="P307">
        <f>YEAR(InputData[[#This Row],[DATE]])</f>
        <v>2022</v>
      </c>
    </row>
    <row r="308" spans="1:16" x14ac:dyDescent="0.3">
      <c r="A308" s="3">
        <v>44620</v>
      </c>
      <c r="B308" s="4" t="s">
        <v>83</v>
      </c>
      <c r="C308" s="5">
        <v>15</v>
      </c>
      <c r="D308" s="5" t="s">
        <v>108</v>
      </c>
      <c r="E308" s="5" t="s">
        <v>107</v>
      </c>
      <c r="F308" s="6">
        <v>0</v>
      </c>
      <c r="G308" t="str">
        <f>VLOOKUP(InputData[[#This Row],[PRODUCT ID]],MasterData[],2,)</f>
        <v>Product37</v>
      </c>
      <c r="H308" t="str">
        <f>VLOOKUP(InputData[[#This Row],[PRODUCT ID]],MasterData[],3,)</f>
        <v>Category05</v>
      </c>
      <c r="I308" t="str">
        <f>VLOOKUP(InputData[[#This Row],[PRODUCT ID]],MasterData[],4,)</f>
        <v>Kg</v>
      </c>
      <c r="J308" s="7">
        <f>VLOOKUP(InputData[[#This Row],[PRODUCT ID]],MasterData[],5,)</f>
        <v>67</v>
      </c>
      <c r="K308" s="7">
        <f>VLOOKUP(InputData[[#This Row],[PRODUCT ID]],MasterData[],6,)</f>
        <v>85.76</v>
      </c>
      <c r="L308" s="7">
        <f>InputData[[#This Row],[BUYING PRIZE]]*InputData[[#This Row],[QUANTITY]]</f>
        <v>1005</v>
      </c>
      <c r="M308" s="7">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3">
      <c r="A309" s="3">
        <v>44624</v>
      </c>
      <c r="B309" s="4" t="s">
        <v>60</v>
      </c>
      <c r="C309" s="5">
        <v>13</v>
      </c>
      <c r="D309" s="5" t="s">
        <v>105</v>
      </c>
      <c r="E309" s="5" t="s">
        <v>106</v>
      </c>
      <c r="F309" s="6">
        <v>0</v>
      </c>
      <c r="G309" t="str">
        <f>VLOOKUP(InputData[[#This Row],[PRODUCT ID]],MasterData[],2,)</f>
        <v>Product26</v>
      </c>
      <c r="H309" t="str">
        <f>VLOOKUP(InputData[[#This Row],[PRODUCT ID]],MasterData[],3,)</f>
        <v>Category04</v>
      </c>
      <c r="I309" t="str">
        <f>VLOOKUP(InputData[[#This Row],[PRODUCT ID]],MasterData[],4,)</f>
        <v>No.</v>
      </c>
      <c r="J309" s="7">
        <f>VLOOKUP(InputData[[#This Row],[PRODUCT ID]],MasterData[],5,)</f>
        <v>18</v>
      </c>
      <c r="K309" s="7">
        <f>VLOOKUP(InputData[[#This Row],[PRODUCT ID]],MasterData[],6,)</f>
        <v>24.66</v>
      </c>
      <c r="L309" s="7">
        <f>InputData[[#This Row],[BUYING PRIZE]]*InputData[[#This Row],[QUANTITY]]</f>
        <v>234</v>
      </c>
      <c r="M309" s="7">
        <f>InputData[[#This Row],[SELLING PRICE]]*InputData[[#This Row],[QUANTITY]]*(1-InputData[[#This Row],[DISCOUNT %]])</f>
        <v>320.58</v>
      </c>
      <c r="N309">
        <f>DAY(InputData[[#This Row],[DATE]])</f>
        <v>4</v>
      </c>
      <c r="O309" t="str">
        <f>TEXT(InputData[[#This Row],[DATE]],"mmm")</f>
        <v>Mar</v>
      </c>
      <c r="P309">
        <f>YEAR(InputData[[#This Row],[DATE]])</f>
        <v>2022</v>
      </c>
    </row>
    <row r="310" spans="1:16" x14ac:dyDescent="0.3">
      <c r="A310" s="3">
        <v>44626</v>
      </c>
      <c r="B310" s="4" t="s">
        <v>14</v>
      </c>
      <c r="C310" s="5">
        <v>2</v>
      </c>
      <c r="D310" s="5" t="s">
        <v>108</v>
      </c>
      <c r="E310" s="5" t="s">
        <v>107</v>
      </c>
      <c r="F310" s="6">
        <v>0</v>
      </c>
      <c r="G310" t="str">
        <f>VLOOKUP(InputData[[#This Row],[PRODUCT ID]],MasterData[],2,)</f>
        <v>Product04</v>
      </c>
      <c r="H310" t="str">
        <f>VLOOKUP(InputData[[#This Row],[PRODUCT ID]],MasterData[],3,)</f>
        <v>Category01</v>
      </c>
      <c r="I310" t="str">
        <f>VLOOKUP(InputData[[#This Row],[PRODUCT ID]],MasterData[],4,)</f>
        <v>Lt</v>
      </c>
      <c r="J310" s="7">
        <f>VLOOKUP(InputData[[#This Row],[PRODUCT ID]],MasterData[],5,)</f>
        <v>44</v>
      </c>
      <c r="K310" s="7">
        <f>VLOOKUP(InputData[[#This Row],[PRODUCT ID]],MasterData[],6,)</f>
        <v>48.84</v>
      </c>
      <c r="L310" s="7">
        <f>InputData[[#This Row],[BUYING PRIZE]]*InputData[[#This Row],[QUANTITY]]</f>
        <v>88</v>
      </c>
      <c r="M310" s="7">
        <f>InputData[[#This Row],[SELLING PRICE]]*InputData[[#This Row],[QUANTITY]]*(1-InputData[[#This Row],[DISCOUNT %]])</f>
        <v>97.68</v>
      </c>
      <c r="N310">
        <f>DAY(InputData[[#This Row],[DATE]])</f>
        <v>6</v>
      </c>
      <c r="O310" t="str">
        <f>TEXT(InputData[[#This Row],[DATE]],"mmm")</f>
        <v>Mar</v>
      </c>
      <c r="P310">
        <f>YEAR(InputData[[#This Row],[DATE]])</f>
        <v>2022</v>
      </c>
    </row>
    <row r="311" spans="1:16" x14ac:dyDescent="0.3">
      <c r="A311" s="3">
        <v>44627</v>
      </c>
      <c r="B311" s="4" t="s">
        <v>12</v>
      </c>
      <c r="C311" s="5">
        <v>1</v>
      </c>
      <c r="D311" s="5" t="s">
        <v>108</v>
      </c>
      <c r="E311" s="5" t="s">
        <v>107</v>
      </c>
      <c r="F311" s="6">
        <v>0</v>
      </c>
      <c r="G311" t="str">
        <f>VLOOKUP(InputData[[#This Row],[PRODUCT ID]],MasterData[],2,)</f>
        <v>Product03</v>
      </c>
      <c r="H311" t="str">
        <f>VLOOKUP(InputData[[#This Row],[PRODUCT ID]],MasterData[],3,)</f>
        <v>Category01</v>
      </c>
      <c r="I311" t="str">
        <f>VLOOKUP(InputData[[#This Row],[PRODUCT ID]],MasterData[],4,)</f>
        <v>Kg</v>
      </c>
      <c r="J311" s="7">
        <f>VLOOKUP(InputData[[#This Row],[PRODUCT ID]],MasterData[],5,)</f>
        <v>71</v>
      </c>
      <c r="K311" s="7">
        <f>VLOOKUP(InputData[[#This Row],[PRODUCT ID]],MasterData[],6,)</f>
        <v>80.94</v>
      </c>
      <c r="L311" s="7">
        <f>InputData[[#This Row],[BUYING PRIZE]]*InputData[[#This Row],[QUANTITY]]</f>
        <v>71</v>
      </c>
      <c r="M311" s="7">
        <f>InputData[[#This Row],[SELLING PRICE]]*InputData[[#This Row],[QUANTITY]]*(1-InputData[[#This Row],[DISCOUNT %]])</f>
        <v>80.94</v>
      </c>
      <c r="N311">
        <f>DAY(InputData[[#This Row],[DATE]])</f>
        <v>7</v>
      </c>
      <c r="O311" t="str">
        <f>TEXT(InputData[[#This Row],[DATE]],"mmm")</f>
        <v>Mar</v>
      </c>
      <c r="P311">
        <f>YEAR(InputData[[#This Row],[DATE]])</f>
        <v>2022</v>
      </c>
    </row>
    <row r="312" spans="1:16" x14ac:dyDescent="0.3">
      <c r="A312" s="3">
        <v>44628</v>
      </c>
      <c r="B312" s="4" t="s">
        <v>98</v>
      </c>
      <c r="C312" s="5">
        <v>6</v>
      </c>
      <c r="D312" s="5" t="s">
        <v>108</v>
      </c>
      <c r="E312" s="5" t="s">
        <v>106</v>
      </c>
      <c r="F312" s="6">
        <v>0</v>
      </c>
      <c r="G312" t="str">
        <f>VLOOKUP(InputData[[#This Row],[PRODUCT ID]],MasterData[],2,)</f>
        <v>Product44</v>
      </c>
      <c r="H312" t="str">
        <f>VLOOKUP(InputData[[#This Row],[PRODUCT ID]],MasterData[],3,)</f>
        <v>Category05</v>
      </c>
      <c r="I312" t="str">
        <f>VLOOKUP(InputData[[#This Row],[PRODUCT ID]],MasterData[],4,)</f>
        <v>Kg</v>
      </c>
      <c r="J312" s="7">
        <f>VLOOKUP(InputData[[#This Row],[PRODUCT ID]],MasterData[],5,)</f>
        <v>76</v>
      </c>
      <c r="K312" s="7">
        <f>VLOOKUP(InputData[[#This Row],[PRODUCT ID]],MasterData[],6,)</f>
        <v>82.08</v>
      </c>
      <c r="L312" s="7">
        <f>InputData[[#This Row],[BUYING PRIZE]]*InputData[[#This Row],[QUANTITY]]</f>
        <v>456</v>
      </c>
      <c r="M312" s="7">
        <f>InputData[[#This Row],[SELLING PRICE]]*InputData[[#This Row],[QUANTITY]]*(1-InputData[[#This Row],[DISCOUNT %]])</f>
        <v>492.48</v>
      </c>
      <c r="N312">
        <f>DAY(InputData[[#This Row],[DATE]])</f>
        <v>8</v>
      </c>
      <c r="O312" t="str">
        <f>TEXT(InputData[[#This Row],[DATE]],"mmm")</f>
        <v>Mar</v>
      </c>
      <c r="P312">
        <f>YEAR(InputData[[#This Row],[DATE]])</f>
        <v>2022</v>
      </c>
    </row>
    <row r="313" spans="1:16" x14ac:dyDescent="0.3">
      <c r="A313" s="3">
        <v>44629</v>
      </c>
      <c r="B313" s="4" t="s">
        <v>69</v>
      </c>
      <c r="C313" s="5">
        <v>3</v>
      </c>
      <c r="D313" s="5" t="s">
        <v>108</v>
      </c>
      <c r="E313" s="5" t="s">
        <v>106</v>
      </c>
      <c r="F313" s="6">
        <v>0</v>
      </c>
      <c r="G313" t="str">
        <f>VLOOKUP(InputData[[#This Row],[PRODUCT ID]],MasterData[],2,)</f>
        <v>Product30</v>
      </c>
      <c r="H313" t="str">
        <f>VLOOKUP(InputData[[#This Row],[PRODUCT ID]],MasterData[],3,)</f>
        <v>Category04</v>
      </c>
      <c r="I313" t="str">
        <f>VLOOKUP(InputData[[#This Row],[PRODUCT ID]],MasterData[],4,)</f>
        <v>Ft</v>
      </c>
      <c r="J313" s="7">
        <f>VLOOKUP(InputData[[#This Row],[PRODUCT ID]],MasterData[],5,)</f>
        <v>148</v>
      </c>
      <c r="K313" s="7">
        <f>VLOOKUP(InputData[[#This Row],[PRODUCT ID]],MasterData[],6,)</f>
        <v>201.28</v>
      </c>
      <c r="L313" s="7">
        <f>InputData[[#This Row],[BUYING PRIZE]]*InputData[[#This Row],[QUANTITY]]</f>
        <v>444</v>
      </c>
      <c r="M313" s="7">
        <f>InputData[[#This Row],[SELLING PRICE]]*InputData[[#This Row],[QUANTITY]]*(1-InputData[[#This Row],[DISCOUNT %]])</f>
        <v>603.84</v>
      </c>
      <c r="N313">
        <f>DAY(InputData[[#This Row],[DATE]])</f>
        <v>9</v>
      </c>
      <c r="O313" t="str">
        <f>TEXT(InputData[[#This Row],[DATE]],"mmm")</f>
        <v>Mar</v>
      </c>
      <c r="P313">
        <f>YEAR(InputData[[#This Row],[DATE]])</f>
        <v>2022</v>
      </c>
    </row>
    <row r="314" spans="1:16" x14ac:dyDescent="0.3">
      <c r="A314" s="3">
        <v>44629</v>
      </c>
      <c r="B314" s="4" t="s">
        <v>14</v>
      </c>
      <c r="C314" s="5">
        <v>11</v>
      </c>
      <c r="D314" s="5" t="s">
        <v>106</v>
      </c>
      <c r="E314" s="5" t="s">
        <v>107</v>
      </c>
      <c r="F314" s="6">
        <v>0</v>
      </c>
      <c r="G314" t="str">
        <f>VLOOKUP(InputData[[#This Row],[PRODUCT ID]],MasterData[],2,)</f>
        <v>Product04</v>
      </c>
      <c r="H314" t="str">
        <f>VLOOKUP(InputData[[#This Row],[PRODUCT ID]],MasterData[],3,)</f>
        <v>Category01</v>
      </c>
      <c r="I314" t="str">
        <f>VLOOKUP(InputData[[#This Row],[PRODUCT ID]],MasterData[],4,)</f>
        <v>Lt</v>
      </c>
      <c r="J314" s="7">
        <f>VLOOKUP(InputData[[#This Row],[PRODUCT ID]],MasterData[],5,)</f>
        <v>44</v>
      </c>
      <c r="K314" s="7">
        <f>VLOOKUP(InputData[[#This Row],[PRODUCT ID]],MasterData[],6,)</f>
        <v>48.84</v>
      </c>
      <c r="L314" s="7">
        <f>InputData[[#This Row],[BUYING PRIZE]]*InputData[[#This Row],[QUANTITY]]</f>
        <v>484</v>
      </c>
      <c r="M314" s="7">
        <f>InputData[[#This Row],[SELLING PRICE]]*InputData[[#This Row],[QUANTITY]]*(1-InputData[[#This Row],[DISCOUNT %]])</f>
        <v>537.24</v>
      </c>
      <c r="N314">
        <f>DAY(InputData[[#This Row],[DATE]])</f>
        <v>9</v>
      </c>
      <c r="O314" t="str">
        <f>TEXT(InputData[[#This Row],[DATE]],"mmm")</f>
        <v>Mar</v>
      </c>
      <c r="P314">
        <f>YEAR(InputData[[#This Row],[DATE]])</f>
        <v>2022</v>
      </c>
    </row>
    <row r="315" spans="1:16" x14ac:dyDescent="0.3">
      <c r="A315" s="3">
        <v>44630</v>
      </c>
      <c r="B315" s="4" t="s">
        <v>75</v>
      </c>
      <c r="C315" s="5">
        <v>12</v>
      </c>
      <c r="D315" s="5" t="s">
        <v>105</v>
      </c>
      <c r="E315" s="5" t="s">
        <v>106</v>
      </c>
      <c r="F315" s="6">
        <v>0</v>
      </c>
      <c r="G315" t="str">
        <f>VLOOKUP(InputData[[#This Row],[PRODUCT ID]],MasterData[],2,)</f>
        <v>Product33</v>
      </c>
      <c r="H315" t="str">
        <f>VLOOKUP(InputData[[#This Row],[PRODUCT ID]],MasterData[],3,)</f>
        <v>Category04</v>
      </c>
      <c r="I315" t="str">
        <f>VLOOKUP(InputData[[#This Row],[PRODUCT ID]],MasterData[],4,)</f>
        <v>Kg</v>
      </c>
      <c r="J315" s="7">
        <f>VLOOKUP(InputData[[#This Row],[PRODUCT ID]],MasterData[],5,)</f>
        <v>95</v>
      </c>
      <c r="K315" s="7">
        <f>VLOOKUP(InputData[[#This Row],[PRODUCT ID]],MasterData[],6,)</f>
        <v>119.7</v>
      </c>
      <c r="L315" s="7">
        <f>InputData[[#This Row],[BUYING PRIZE]]*InputData[[#This Row],[QUANTITY]]</f>
        <v>1140</v>
      </c>
      <c r="M315" s="7">
        <f>InputData[[#This Row],[SELLING PRICE]]*InputData[[#This Row],[QUANTITY]]*(1-InputData[[#This Row],[DISCOUNT %]])</f>
        <v>1436.4</v>
      </c>
      <c r="N315">
        <f>DAY(InputData[[#This Row],[DATE]])</f>
        <v>10</v>
      </c>
      <c r="O315" t="str">
        <f>TEXT(InputData[[#This Row],[DATE]],"mmm")</f>
        <v>Mar</v>
      </c>
      <c r="P315">
        <f>YEAR(InputData[[#This Row],[DATE]])</f>
        <v>2022</v>
      </c>
    </row>
    <row r="316" spans="1:16" x14ac:dyDescent="0.3">
      <c r="A316" s="3">
        <v>44634</v>
      </c>
      <c r="B316" s="4" t="s">
        <v>39</v>
      </c>
      <c r="C316" s="5">
        <v>2</v>
      </c>
      <c r="D316" s="5" t="s">
        <v>108</v>
      </c>
      <c r="E316" s="5" t="s">
        <v>107</v>
      </c>
      <c r="F316" s="6">
        <v>0</v>
      </c>
      <c r="G316" t="str">
        <f>VLOOKUP(InputData[[#This Row],[PRODUCT ID]],MasterData[],2,)</f>
        <v>Product16</v>
      </c>
      <c r="H316" t="str">
        <f>VLOOKUP(InputData[[#This Row],[PRODUCT ID]],MasterData[],3,)</f>
        <v>Category02</v>
      </c>
      <c r="I316" t="str">
        <f>VLOOKUP(InputData[[#This Row],[PRODUCT ID]],MasterData[],4,)</f>
        <v>No.</v>
      </c>
      <c r="J316" s="7">
        <f>VLOOKUP(InputData[[#This Row],[PRODUCT ID]],MasterData[],5,)</f>
        <v>13</v>
      </c>
      <c r="K316" s="7">
        <f>VLOOKUP(InputData[[#This Row],[PRODUCT ID]],MasterData[],6,)</f>
        <v>16.64</v>
      </c>
      <c r="L316" s="7">
        <f>InputData[[#This Row],[BUYING PRIZE]]*InputData[[#This Row],[QUANTITY]]</f>
        <v>26</v>
      </c>
      <c r="M316" s="7">
        <f>InputData[[#This Row],[SELLING PRICE]]*InputData[[#This Row],[QUANTITY]]*(1-InputData[[#This Row],[DISCOUNT %]])</f>
        <v>33.28</v>
      </c>
      <c r="N316">
        <f>DAY(InputData[[#This Row],[DATE]])</f>
        <v>14</v>
      </c>
      <c r="O316" t="str">
        <f>TEXT(InputData[[#This Row],[DATE]],"mmm")</f>
        <v>Mar</v>
      </c>
      <c r="P316">
        <f>YEAR(InputData[[#This Row],[DATE]])</f>
        <v>2022</v>
      </c>
    </row>
    <row r="317" spans="1:16" x14ac:dyDescent="0.3">
      <c r="A317" s="3">
        <v>44634</v>
      </c>
      <c r="B317" s="4" t="s">
        <v>60</v>
      </c>
      <c r="C317" s="5">
        <v>13</v>
      </c>
      <c r="D317" s="5" t="s">
        <v>108</v>
      </c>
      <c r="E317" s="5" t="s">
        <v>106</v>
      </c>
      <c r="F317" s="6">
        <v>0</v>
      </c>
      <c r="G317" t="str">
        <f>VLOOKUP(InputData[[#This Row],[PRODUCT ID]],MasterData[],2,)</f>
        <v>Product26</v>
      </c>
      <c r="H317" t="str">
        <f>VLOOKUP(InputData[[#This Row],[PRODUCT ID]],MasterData[],3,)</f>
        <v>Category04</v>
      </c>
      <c r="I317" t="str">
        <f>VLOOKUP(InputData[[#This Row],[PRODUCT ID]],MasterData[],4,)</f>
        <v>No.</v>
      </c>
      <c r="J317" s="7">
        <f>VLOOKUP(InputData[[#This Row],[PRODUCT ID]],MasterData[],5,)</f>
        <v>18</v>
      </c>
      <c r="K317" s="7">
        <f>VLOOKUP(InputData[[#This Row],[PRODUCT ID]],MasterData[],6,)</f>
        <v>24.66</v>
      </c>
      <c r="L317" s="7">
        <f>InputData[[#This Row],[BUYING PRIZE]]*InputData[[#This Row],[QUANTITY]]</f>
        <v>234</v>
      </c>
      <c r="M317" s="7">
        <f>InputData[[#This Row],[SELLING PRICE]]*InputData[[#This Row],[QUANTITY]]*(1-InputData[[#This Row],[DISCOUNT %]])</f>
        <v>320.58</v>
      </c>
      <c r="N317">
        <f>DAY(InputData[[#This Row],[DATE]])</f>
        <v>14</v>
      </c>
      <c r="O317" t="str">
        <f>TEXT(InputData[[#This Row],[DATE]],"mmm")</f>
        <v>Mar</v>
      </c>
      <c r="P317">
        <f>YEAR(InputData[[#This Row],[DATE]])</f>
        <v>2022</v>
      </c>
    </row>
    <row r="318" spans="1:16" x14ac:dyDescent="0.3">
      <c r="A318" s="3">
        <v>44638</v>
      </c>
      <c r="B318" s="4" t="s">
        <v>45</v>
      </c>
      <c r="C318" s="5">
        <v>2</v>
      </c>
      <c r="D318" s="5" t="s">
        <v>106</v>
      </c>
      <c r="E318" s="5" t="s">
        <v>107</v>
      </c>
      <c r="F318" s="6">
        <v>0</v>
      </c>
      <c r="G318" t="str">
        <f>VLOOKUP(InputData[[#This Row],[PRODUCT ID]],MasterData[],2,)</f>
        <v>Product19</v>
      </c>
      <c r="H318" t="str">
        <f>VLOOKUP(InputData[[#This Row],[PRODUCT ID]],MasterData[],3,)</f>
        <v>Category02</v>
      </c>
      <c r="I318" t="str">
        <f>VLOOKUP(InputData[[#This Row],[PRODUCT ID]],MasterData[],4,)</f>
        <v>Ft</v>
      </c>
      <c r="J318" s="7">
        <f>VLOOKUP(InputData[[#This Row],[PRODUCT ID]],MasterData[],5,)</f>
        <v>150</v>
      </c>
      <c r="K318" s="7">
        <f>VLOOKUP(InputData[[#This Row],[PRODUCT ID]],MasterData[],6,)</f>
        <v>210</v>
      </c>
      <c r="L318" s="7">
        <f>InputData[[#This Row],[BUYING PRIZE]]*InputData[[#This Row],[QUANTITY]]</f>
        <v>300</v>
      </c>
      <c r="M318" s="7">
        <f>InputData[[#This Row],[SELLING PRICE]]*InputData[[#This Row],[QUANTITY]]*(1-InputData[[#This Row],[DISCOUNT %]])</f>
        <v>420</v>
      </c>
      <c r="N318">
        <f>DAY(InputData[[#This Row],[DATE]])</f>
        <v>18</v>
      </c>
      <c r="O318" t="str">
        <f>TEXT(InputData[[#This Row],[DATE]],"mmm")</f>
        <v>Mar</v>
      </c>
      <c r="P318">
        <f>YEAR(InputData[[#This Row],[DATE]])</f>
        <v>2022</v>
      </c>
    </row>
    <row r="319" spans="1:16" x14ac:dyDescent="0.3">
      <c r="A319" s="3">
        <v>44638</v>
      </c>
      <c r="B319" s="4" t="s">
        <v>63</v>
      </c>
      <c r="C319" s="5">
        <v>10</v>
      </c>
      <c r="D319" s="5" t="s">
        <v>108</v>
      </c>
      <c r="E319" s="5" t="s">
        <v>107</v>
      </c>
      <c r="F319" s="6">
        <v>0</v>
      </c>
      <c r="G319" t="str">
        <f>VLOOKUP(InputData[[#This Row],[PRODUCT ID]],MasterData[],2,)</f>
        <v>Product27</v>
      </c>
      <c r="H319" t="str">
        <f>VLOOKUP(InputData[[#This Row],[PRODUCT ID]],MasterData[],3,)</f>
        <v>Category04</v>
      </c>
      <c r="I319" t="str">
        <f>VLOOKUP(InputData[[#This Row],[PRODUCT ID]],MasterData[],4,)</f>
        <v>Lt</v>
      </c>
      <c r="J319" s="7">
        <f>VLOOKUP(InputData[[#This Row],[PRODUCT ID]],MasterData[],5,)</f>
        <v>48</v>
      </c>
      <c r="K319" s="7">
        <f>VLOOKUP(InputData[[#This Row],[PRODUCT ID]],MasterData[],6,)</f>
        <v>57.120000000000005</v>
      </c>
      <c r="L319" s="7">
        <f>InputData[[#This Row],[BUYING PRIZE]]*InputData[[#This Row],[QUANTITY]]</f>
        <v>480</v>
      </c>
      <c r="M319" s="7">
        <f>InputData[[#This Row],[SELLING PRICE]]*InputData[[#This Row],[QUANTITY]]*(1-InputData[[#This Row],[DISCOUNT %]])</f>
        <v>571.20000000000005</v>
      </c>
      <c r="N319">
        <f>DAY(InputData[[#This Row],[DATE]])</f>
        <v>18</v>
      </c>
      <c r="O319" t="str">
        <f>TEXT(InputData[[#This Row],[DATE]],"mmm")</f>
        <v>Mar</v>
      </c>
      <c r="P319">
        <f>YEAR(InputData[[#This Row],[DATE]])</f>
        <v>2022</v>
      </c>
    </row>
    <row r="320" spans="1:16" x14ac:dyDescent="0.3">
      <c r="A320" s="3">
        <v>44639</v>
      </c>
      <c r="B320" s="4" t="s">
        <v>92</v>
      </c>
      <c r="C320" s="5">
        <v>6</v>
      </c>
      <c r="D320" s="5" t="s">
        <v>105</v>
      </c>
      <c r="E320" s="5" t="s">
        <v>107</v>
      </c>
      <c r="F320" s="6">
        <v>0</v>
      </c>
      <c r="G320" t="str">
        <f>VLOOKUP(InputData[[#This Row],[PRODUCT ID]],MasterData[],2,)</f>
        <v>Product41</v>
      </c>
      <c r="H320" t="str">
        <f>VLOOKUP(InputData[[#This Row],[PRODUCT ID]],MasterData[],3,)</f>
        <v>Category05</v>
      </c>
      <c r="I320" t="str">
        <f>VLOOKUP(InputData[[#This Row],[PRODUCT ID]],MasterData[],4,)</f>
        <v>Ft</v>
      </c>
      <c r="J320" s="7">
        <f>VLOOKUP(InputData[[#This Row],[PRODUCT ID]],MasterData[],5,)</f>
        <v>138</v>
      </c>
      <c r="K320" s="7">
        <f>VLOOKUP(InputData[[#This Row],[PRODUCT ID]],MasterData[],6,)</f>
        <v>173.88</v>
      </c>
      <c r="L320" s="7">
        <f>InputData[[#This Row],[BUYING PRIZE]]*InputData[[#This Row],[QUANTITY]]</f>
        <v>828</v>
      </c>
      <c r="M320" s="7">
        <f>InputData[[#This Row],[SELLING PRICE]]*InputData[[#This Row],[QUANTITY]]*(1-InputData[[#This Row],[DISCOUNT %]])</f>
        <v>1043.28</v>
      </c>
      <c r="N320">
        <f>DAY(InputData[[#This Row],[DATE]])</f>
        <v>19</v>
      </c>
      <c r="O320" t="str">
        <f>TEXT(InputData[[#This Row],[DATE]],"mmm")</f>
        <v>Mar</v>
      </c>
      <c r="P320">
        <f>YEAR(InputData[[#This Row],[DATE]])</f>
        <v>2022</v>
      </c>
    </row>
    <row r="321" spans="1:16" x14ac:dyDescent="0.3">
      <c r="A321" s="3">
        <v>44643</v>
      </c>
      <c r="B321" s="4" t="s">
        <v>73</v>
      </c>
      <c r="C321" s="5">
        <v>9</v>
      </c>
      <c r="D321" s="5" t="s">
        <v>108</v>
      </c>
      <c r="E321" s="5" t="s">
        <v>107</v>
      </c>
      <c r="F321" s="6">
        <v>0</v>
      </c>
      <c r="G321" t="str">
        <f>VLOOKUP(InputData[[#This Row],[PRODUCT ID]],MasterData[],2,)</f>
        <v>Product32</v>
      </c>
      <c r="H321" t="str">
        <f>VLOOKUP(InputData[[#This Row],[PRODUCT ID]],MasterData[],3,)</f>
        <v>Category04</v>
      </c>
      <c r="I321" t="str">
        <f>VLOOKUP(InputData[[#This Row],[PRODUCT ID]],MasterData[],4,)</f>
        <v>Kg</v>
      </c>
      <c r="J321" s="7">
        <f>VLOOKUP(InputData[[#This Row],[PRODUCT ID]],MasterData[],5,)</f>
        <v>89</v>
      </c>
      <c r="K321" s="7">
        <f>VLOOKUP(InputData[[#This Row],[PRODUCT ID]],MasterData[],6,)</f>
        <v>117.48</v>
      </c>
      <c r="L321" s="7">
        <f>InputData[[#This Row],[BUYING PRIZE]]*InputData[[#This Row],[QUANTITY]]</f>
        <v>801</v>
      </c>
      <c r="M321" s="7">
        <f>InputData[[#This Row],[SELLING PRICE]]*InputData[[#This Row],[QUANTITY]]*(1-InputData[[#This Row],[DISCOUNT %]])</f>
        <v>1057.32</v>
      </c>
      <c r="N321">
        <f>DAY(InputData[[#This Row],[DATE]])</f>
        <v>23</v>
      </c>
      <c r="O321" t="str">
        <f>TEXT(InputData[[#This Row],[DATE]],"mmm")</f>
        <v>Mar</v>
      </c>
      <c r="P321">
        <f>YEAR(InputData[[#This Row],[DATE]])</f>
        <v>2022</v>
      </c>
    </row>
    <row r="322" spans="1:16" x14ac:dyDescent="0.3">
      <c r="A322" s="3">
        <v>44645</v>
      </c>
      <c r="B322" s="4" t="s">
        <v>6</v>
      </c>
      <c r="C322" s="5">
        <v>2</v>
      </c>
      <c r="D322" s="5" t="s">
        <v>105</v>
      </c>
      <c r="E322" s="5" t="s">
        <v>106</v>
      </c>
      <c r="F322" s="6">
        <v>0</v>
      </c>
      <c r="G322" t="str">
        <f>VLOOKUP(InputData[[#This Row],[PRODUCT ID]],MasterData[],2,)</f>
        <v>Product01</v>
      </c>
      <c r="H322" t="str">
        <f>VLOOKUP(InputData[[#This Row],[PRODUCT ID]],MasterData[],3,)</f>
        <v>Category01</v>
      </c>
      <c r="I322" t="str">
        <f>VLOOKUP(InputData[[#This Row],[PRODUCT ID]],MasterData[],4,)</f>
        <v>Kg</v>
      </c>
      <c r="J322" s="7">
        <f>VLOOKUP(InputData[[#This Row],[PRODUCT ID]],MasterData[],5,)</f>
        <v>98</v>
      </c>
      <c r="K322" s="7">
        <f>VLOOKUP(InputData[[#This Row],[PRODUCT ID]],MasterData[],6,)</f>
        <v>103.88</v>
      </c>
      <c r="L322" s="7">
        <f>InputData[[#This Row],[BUYING PRIZE]]*InputData[[#This Row],[QUANTITY]]</f>
        <v>196</v>
      </c>
      <c r="M322" s="7">
        <f>InputData[[#This Row],[SELLING PRICE]]*InputData[[#This Row],[QUANTITY]]*(1-InputData[[#This Row],[DISCOUNT %]])</f>
        <v>207.76</v>
      </c>
      <c r="N322">
        <f>DAY(InputData[[#This Row],[DATE]])</f>
        <v>25</v>
      </c>
      <c r="O322" t="str">
        <f>TEXT(InputData[[#This Row],[DATE]],"mmm")</f>
        <v>Mar</v>
      </c>
      <c r="P322">
        <f>YEAR(InputData[[#This Row],[DATE]])</f>
        <v>2022</v>
      </c>
    </row>
    <row r="323" spans="1:16" x14ac:dyDescent="0.3">
      <c r="A323" s="3">
        <v>44645</v>
      </c>
      <c r="B323" s="4" t="s">
        <v>69</v>
      </c>
      <c r="C323" s="5">
        <v>11</v>
      </c>
      <c r="D323" s="5" t="s">
        <v>108</v>
      </c>
      <c r="E323" s="5" t="s">
        <v>106</v>
      </c>
      <c r="F323" s="6">
        <v>0</v>
      </c>
      <c r="G323" t="str">
        <f>VLOOKUP(InputData[[#This Row],[PRODUCT ID]],MasterData[],2,)</f>
        <v>Product30</v>
      </c>
      <c r="H323" t="str">
        <f>VLOOKUP(InputData[[#This Row],[PRODUCT ID]],MasterData[],3,)</f>
        <v>Category04</v>
      </c>
      <c r="I323" t="str">
        <f>VLOOKUP(InputData[[#This Row],[PRODUCT ID]],MasterData[],4,)</f>
        <v>Ft</v>
      </c>
      <c r="J323" s="7">
        <f>VLOOKUP(InputData[[#This Row],[PRODUCT ID]],MasterData[],5,)</f>
        <v>148</v>
      </c>
      <c r="K323" s="7">
        <f>VLOOKUP(InputData[[#This Row],[PRODUCT ID]],MasterData[],6,)</f>
        <v>201.28</v>
      </c>
      <c r="L323" s="7">
        <f>InputData[[#This Row],[BUYING PRIZE]]*InputData[[#This Row],[QUANTITY]]</f>
        <v>1628</v>
      </c>
      <c r="M323" s="7">
        <f>InputData[[#This Row],[SELLING PRICE]]*InputData[[#This Row],[QUANTITY]]*(1-InputData[[#This Row],[DISCOUNT %]])</f>
        <v>2214.08</v>
      </c>
      <c r="N323">
        <f>DAY(InputData[[#This Row],[DATE]])</f>
        <v>25</v>
      </c>
      <c r="O323" t="str">
        <f>TEXT(InputData[[#This Row],[DATE]],"mmm")</f>
        <v>Mar</v>
      </c>
      <c r="P323">
        <f>YEAR(InputData[[#This Row],[DATE]])</f>
        <v>2022</v>
      </c>
    </row>
    <row r="324" spans="1:16" x14ac:dyDescent="0.3">
      <c r="A324" s="3">
        <v>44649</v>
      </c>
      <c r="B324" s="4" t="s">
        <v>73</v>
      </c>
      <c r="C324" s="5">
        <v>12</v>
      </c>
      <c r="D324" s="5" t="s">
        <v>106</v>
      </c>
      <c r="E324" s="5" t="s">
        <v>106</v>
      </c>
      <c r="F324" s="6">
        <v>0</v>
      </c>
      <c r="G324" t="str">
        <f>VLOOKUP(InputData[[#This Row],[PRODUCT ID]],MasterData[],2,)</f>
        <v>Product32</v>
      </c>
      <c r="H324" t="str">
        <f>VLOOKUP(InputData[[#This Row],[PRODUCT ID]],MasterData[],3,)</f>
        <v>Category04</v>
      </c>
      <c r="I324" t="str">
        <f>VLOOKUP(InputData[[#This Row],[PRODUCT ID]],MasterData[],4,)</f>
        <v>Kg</v>
      </c>
      <c r="J324" s="7">
        <f>VLOOKUP(InputData[[#This Row],[PRODUCT ID]],MasterData[],5,)</f>
        <v>89</v>
      </c>
      <c r="K324" s="7">
        <f>VLOOKUP(InputData[[#This Row],[PRODUCT ID]],MasterData[],6,)</f>
        <v>117.48</v>
      </c>
      <c r="L324" s="7">
        <f>InputData[[#This Row],[BUYING PRIZE]]*InputData[[#This Row],[QUANTITY]]</f>
        <v>1068</v>
      </c>
      <c r="M324" s="7">
        <f>InputData[[#This Row],[SELLING PRICE]]*InputData[[#This Row],[QUANTITY]]*(1-InputData[[#This Row],[DISCOUNT %]])</f>
        <v>1409.76</v>
      </c>
      <c r="N324">
        <f>DAY(InputData[[#This Row],[DATE]])</f>
        <v>29</v>
      </c>
      <c r="O324" t="str">
        <f>TEXT(InputData[[#This Row],[DATE]],"mmm")</f>
        <v>Mar</v>
      </c>
      <c r="P324">
        <f>YEAR(InputData[[#This Row],[DATE]])</f>
        <v>2022</v>
      </c>
    </row>
    <row r="325" spans="1:16" x14ac:dyDescent="0.3">
      <c r="A325" s="3">
        <v>44650</v>
      </c>
      <c r="B325" s="4" t="s">
        <v>6</v>
      </c>
      <c r="C325" s="5">
        <v>13</v>
      </c>
      <c r="D325" s="5" t="s">
        <v>106</v>
      </c>
      <c r="E325" s="5" t="s">
        <v>107</v>
      </c>
      <c r="F325" s="6">
        <v>0</v>
      </c>
      <c r="G325" t="str">
        <f>VLOOKUP(InputData[[#This Row],[PRODUCT ID]],MasterData[],2,)</f>
        <v>Product01</v>
      </c>
      <c r="H325" t="str">
        <f>VLOOKUP(InputData[[#This Row],[PRODUCT ID]],MasterData[],3,)</f>
        <v>Category01</v>
      </c>
      <c r="I325" t="str">
        <f>VLOOKUP(InputData[[#This Row],[PRODUCT ID]],MasterData[],4,)</f>
        <v>Kg</v>
      </c>
      <c r="J325" s="7">
        <f>VLOOKUP(InputData[[#This Row],[PRODUCT ID]],MasterData[],5,)</f>
        <v>98</v>
      </c>
      <c r="K325" s="7">
        <f>VLOOKUP(InputData[[#This Row],[PRODUCT ID]],MasterData[],6,)</f>
        <v>103.88</v>
      </c>
      <c r="L325" s="7">
        <f>InputData[[#This Row],[BUYING PRIZE]]*InputData[[#This Row],[QUANTITY]]</f>
        <v>1274</v>
      </c>
      <c r="M325" s="7">
        <f>InputData[[#This Row],[SELLING PRICE]]*InputData[[#This Row],[QUANTITY]]*(1-InputData[[#This Row],[DISCOUNT %]])</f>
        <v>1350.44</v>
      </c>
      <c r="N325">
        <f>DAY(InputData[[#This Row],[DATE]])</f>
        <v>30</v>
      </c>
      <c r="O325" t="str">
        <f>TEXT(InputData[[#This Row],[DATE]],"mmm")</f>
        <v>Mar</v>
      </c>
      <c r="P325">
        <f>YEAR(InputData[[#This Row],[DATE]])</f>
        <v>2022</v>
      </c>
    </row>
    <row r="326" spans="1:16" x14ac:dyDescent="0.3">
      <c r="A326" s="3">
        <v>44652</v>
      </c>
      <c r="B326" s="4" t="s">
        <v>10</v>
      </c>
      <c r="C326" s="5">
        <v>2</v>
      </c>
      <c r="D326" s="5" t="s">
        <v>106</v>
      </c>
      <c r="E326" s="5" t="s">
        <v>107</v>
      </c>
      <c r="F326" s="6">
        <v>0</v>
      </c>
      <c r="G326" t="str">
        <f>VLOOKUP(InputData[[#This Row],[PRODUCT ID]],MasterData[],2,)</f>
        <v>Product02</v>
      </c>
      <c r="H326" t="str">
        <f>VLOOKUP(InputData[[#This Row],[PRODUCT ID]],MasterData[],3,)</f>
        <v>Category01</v>
      </c>
      <c r="I326" t="str">
        <f>VLOOKUP(InputData[[#This Row],[PRODUCT ID]],MasterData[],4,)</f>
        <v>Kg</v>
      </c>
      <c r="J326" s="7">
        <f>VLOOKUP(InputData[[#This Row],[PRODUCT ID]],MasterData[],5,)</f>
        <v>105</v>
      </c>
      <c r="K326" s="7">
        <f>VLOOKUP(InputData[[#This Row],[PRODUCT ID]],MasterData[],6,)</f>
        <v>142.80000000000001</v>
      </c>
      <c r="L326" s="7">
        <f>InputData[[#This Row],[BUYING PRIZE]]*InputData[[#This Row],[QUANTITY]]</f>
        <v>210</v>
      </c>
      <c r="M326" s="7">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3">
      <c r="A327" s="3">
        <v>44653</v>
      </c>
      <c r="B327" s="4" t="s">
        <v>10</v>
      </c>
      <c r="C327" s="5">
        <v>3</v>
      </c>
      <c r="D327" s="5" t="s">
        <v>108</v>
      </c>
      <c r="E327" s="5" t="s">
        <v>107</v>
      </c>
      <c r="F327" s="6">
        <v>0</v>
      </c>
      <c r="G327" t="str">
        <f>VLOOKUP(InputData[[#This Row],[PRODUCT ID]],MasterData[],2,)</f>
        <v>Product02</v>
      </c>
      <c r="H327" t="str">
        <f>VLOOKUP(InputData[[#This Row],[PRODUCT ID]],MasterData[],3,)</f>
        <v>Category01</v>
      </c>
      <c r="I327" t="str">
        <f>VLOOKUP(InputData[[#This Row],[PRODUCT ID]],MasterData[],4,)</f>
        <v>Kg</v>
      </c>
      <c r="J327" s="7">
        <f>VLOOKUP(InputData[[#This Row],[PRODUCT ID]],MasterData[],5,)</f>
        <v>105</v>
      </c>
      <c r="K327" s="7">
        <f>VLOOKUP(InputData[[#This Row],[PRODUCT ID]],MasterData[],6,)</f>
        <v>142.80000000000001</v>
      </c>
      <c r="L327" s="7">
        <f>InputData[[#This Row],[BUYING PRIZE]]*InputData[[#This Row],[QUANTITY]]</f>
        <v>315</v>
      </c>
      <c r="M327" s="7">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3">
      <c r="A328" s="3">
        <v>44657</v>
      </c>
      <c r="B328" s="4" t="s">
        <v>90</v>
      </c>
      <c r="C328" s="5">
        <v>2</v>
      </c>
      <c r="D328" s="5" t="s">
        <v>105</v>
      </c>
      <c r="E328" s="5" t="s">
        <v>107</v>
      </c>
      <c r="F328" s="6">
        <v>0</v>
      </c>
      <c r="G328" t="str">
        <f>VLOOKUP(InputData[[#This Row],[PRODUCT ID]],MasterData[],2,)</f>
        <v>Product40</v>
      </c>
      <c r="H328" t="str">
        <f>VLOOKUP(InputData[[#This Row],[PRODUCT ID]],MasterData[],3,)</f>
        <v>Category05</v>
      </c>
      <c r="I328" t="str">
        <f>VLOOKUP(InputData[[#This Row],[PRODUCT ID]],MasterData[],4,)</f>
        <v>Kg</v>
      </c>
      <c r="J328" s="7">
        <f>VLOOKUP(InputData[[#This Row],[PRODUCT ID]],MasterData[],5,)</f>
        <v>90</v>
      </c>
      <c r="K328" s="7">
        <f>VLOOKUP(InputData[[#This Row],[PRODUCT ID]],MasterData[],6,)</f>
        <v>115.2</v>
      </c>
      <c r="L328" s="7">
        <f>InputData[[#This Row],[BUYING PRIZE]]*InputData[[#This Row],[QUANTITY]]</f>
        <v>180</v>
      </c>
      <c r="M328" s="7">
        <f>InputData[[#This Row],[SELLING PRICE]]*InputData[[#This Row],[QUANTITY]]*(1-InputData[[#This Row],[DISCOUNT %]])</f>
        <v>230.4</v>
      </c>
      <c r="N328">
        <f>DAY(InputData[[#This Row],[DATE]])</f>
        <v>6</v>
      </c>
      <c r="O328" t="str">
        <f>TEXT(InputData[[#This Row],[DATE]],"mmm")</f>
        <v>Apr</v>
      </c>
      <c r="P328">
        <f>YEAR(InputData[[#This Row],[DATE]])</f>
        <v>2022</v>
      </c>
    </row>
    <row r="329" spans="1:16" x14ac:dyDescent="0.3">
      <c r="A329" s="3">
        <v>44658</v>
      </c>
      <c r="B329" s="4" t="s">
        <v>60</v>
      </c>
      <c r="C329" s="5">
        <v>7</v>
      </c>
      <c r="D329" s="5" t="s">
        <v>108</v>
      </c>
      <c r="E329" s="5" t="s">
        <v>106</v>
      </c>
      <c r="F329" s="6">
        <v>0</v>
      </c>
      <c r="G329" t="str">
        <f>VLOOKUP(InputData[[#This Row],[PRODUCT ID]],MasterData[],2,)</f>
        <v>Product26</v>
      </c>
      <c r="H329" t="str">
        <f>VLOOKUP(InputData[[#This Row],[PRODUCT ID]],MasterData[],3,)</f>
        <v>Category04</v>
      </c>
      <c r="I329" t="str">
        <f>VLOOKUP(InputData[[#This Row],[PRODUCT ID]],MasterData[],4,)</f>
        <v>No.</v>
      </c>
      <c r="J329" s="7">
        <f>VLOOKUP(InputData[[#This Row],[PRODUCT ID]],MasterData[],5,)</f>
        <v>18</v>
      </c>
      <c r="K329" s="7">
        <f>VLOOKUP(InputData[[#This Row],[PRODUCT ID]],MasterData[],6,)</f>
        <v>24.66</v>
      </c>
      <c r="L329" s="7">
        <f>InputData[[#This Row],[BUYING PRIZE]]*InputData[[#This Row],[QUANTITY]]</f>
        <v>126</v>
      </c>
      <c r="M329" s="7">
        <f>InputData[[#This Row],[SELLING PRICE]]*InputData[[#This Row],[QUANTITY]]*(1-InputData[[#This Row],[DISCOUNT %]])</f>
        <v>172.62</v>
      </c>
      <c r="N329">
        <f>DAY(InputData[[#This Row],[DATE]])</f>
        <v>7</v>
      </c>
      <c r="O329" t="str">
        <f>TEXT(InputData[[#This Row],[DATE]],"mmm")</f>
        <v>Apr</v>
      </c>
      <c r="P329">
        <f>YEAR(InputData[[#This Row],[DATE]])</f>
        <v>2022</v>
      </c>
    </row>
    <row r="330" spans="1:16" x14ac:dyDescent="0.3">
      <c r="A330" s="3">
        <v>44660</v>
      </c>
      <c r="B330" s="4" t="s">
        <v>88</v>
      </c>
      <c r="C330" s="5">
        <v>12</v>
      </c>
      <c r="D330" s="5" t="s">
        <v>105</v>
      </c>
      <c r="E330" s="5" t="s">
        <v>107</v>
      </c>
      <c r="F330" s="6">
        <v>0</v>
      </c>
      <c r="G330" t="str">
        <f>VLOOKUP(InputData[[#This Row],[PRODUCT ID]],MasterData[],2,)</f>
        <v>Product39</v>
      </c>
      <c r="H330" t="str">
        <f>VLOOKUP(InputData[[#This Row],[PRODUCT ID]],MasterData[],3,)</f>
        <v>Category05</v>
      </c>
      <c r="I330" t="str">
        <f>VLOOKUP(InputData[[#This Row],[PRODUCT ID]],MasterData[],4,)</f>
        <v>No.</v>
      </c>
      <c r="J330" s="7">
        <f>VLOOKUP(InputData[[#This Row],[PRODUCT ID]],MasterData[],5,)</f>
        <v>37</v>
      </c>
      <c r="K330" s="7">
        <f>VLOOKUP(InputData[[#This Row],[PRODUCT ID]],MasterData[],6,)</f>
        <v>42.55</v>
      </c>
      <c r="L330" s="7">
        <f>InputData[[#This Row],[BUYING PRIZE]]*InputData[[#This Row],[QUANTITY]]</f>
        <v>444</v>
      </c>
      <c r="M330" s="7">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3">
      <c r="A331" s="3">
        <v>44660</v>
      </c>
      <c r="B331" s="4" t="s">
        <v>10</v>
      </c>
      <c r="C331" s="5">
        <v>9</v>
      </c>
      <c r="D331" s="5" t="s">
        <v>106</v>
      </c>
      <c r="E331" s="5" t="s">
        <v>106</v>
      </c>
      <c r="F331" s="6">
        <v>0</v>
      </c>
      <c r="G331" t="str">
        <f>VLOOKUP(InputData[[#This Row],[PRODUCT ID]],MasterData[],2,)</f>
        <v>Product02</v>
      </c>
      <c r="H331" t="str">
        <f>VLOOKUP(InputData[[#This Row],[PRODUCT ID]],MasterData[],3,)</f>
        <v>Category01</v>
      </c>
      <c r="I331" t="str">
        <f>VLOOKUP(InputData[[#This Row],[PRODUCT ID]],MasterData[],4,)</f>
        <v>Kg</v>
      </c>
      <c r="J331" s="7">
        <f>VLOOKUP(InputData[[#This Row],[PRODUCT ID]],MasterData[],5,)</f>
        <v>105</v>
      </c>
      <c r="K331" s="7">
        <f>VLOOKUP(InputData[[#This Row],[PRODUCT ID]],MasterData[],6,)</f>
        <v>142.80000000000001</v>
      </c>
      <c r="L331" s="7">
        <f>InputData[[#This Row],[BUYING PRIZE]]*InputData[[#This Row],[QUANTITY]]</f>
        <v>945</v>
      </c>
      <c r="M331" s="7">
        <f>InputData[[#This Row],[SELLING PRICE]]*InputData[[#This Row],[QUANTITY]]*(1-InputData[[#This Row],[DISCOUNT %]])</f>
        <v>1285.2</v>
      </c>
      <c r="N331">
        <f>DAY(InputData[[#This Row],[DATE]])</f>
        <v>9</v>
      </c>
      <c r="O331" t="str">
        <f>TEXT(InputData[[#This Row],[DATE]],"mmm")</f>
        <v>Apr</v>
      </c>
      <c r="P331">
        <f>YEAR(InputData[[#This Row],[DATE]])</f>
        <v>2022</v>
      </c>
    </row>
    <row r="332" spans="1:16" x14ac:dyDescent="0.3">
      <c r="A332" s="3">
        <v>44664</v>
      </c>
      <c r="B332" s="4" t="s">
        <v>39</v>
      </c>
      <c r="C332" s="5">
        <v>14</v>
      </c>
      <c r="D332" s="5" t="s">
        <v>105</v>
      </c>
      <c r="E332" s="5" t="s">
        <v>106</v>
      </c>
      <c r="F332" s="6">
        <v>0</v>
      </c>
      <c r="G332" t="str">
        <f>VLOOKUP(InputData[[#This Row],[PRODUCT ID]],MasterData[],2,)</f>
        <v>Product16</v>
      </c>
      <c r="H332" t="str">
        <f>VLOOKUP(InputData[[#This Row],[PRODUCT ID]],MasterData[],3,)</f>
        <v>Category02</v>
      </c>
      <c r="I332" t="str">
        <f>VLOOKUP(InputData[[#This Row],[PRODUCT ID]],MasterData[],4,)</f>
        <v>No.</v>
      </c>
      <c r="J332" s="7">
        <f>VLOOKUP(InputData[[#This Row],[PRODUCT ID]],MasterData[],5,)</f>
        <v>13</v>
      </c>
      <c r="K332" s="7">
        <f>VLOOKUP(InputData[[#This Row],[PRODUCT ID]],MasterData[],6,)</f>
        <v>16.64</v>
      </c>
      <c r="L332" s="7">
        <f>InputData[[#This Row],[BUYING PRIZE]]*InputData[[#This Row],[QUANTITY]]</f>
        <v>182</v>
      </c>
      <c r="M332" s="7">
        <f>InputData[[#This Row],[SELLING PRICE]]*InputData[[#This Row],[QUANTITY]]*(1-InputData[[#This Row],[DISCOUNT %]])</f>
        <v>232.96</v>
      </c>
      <c r="N332">
        <f>DAY(InputData[[#This Row],[DATE]])</f>
        <v>13</v>
      </c>
      <c r="O332" t="str">
        <f>TEXT(InputData[[#This Row],[DATE]],"mmm")</f>
        <v>Apr</v>
      </c>
      <c r="P332">
        <f>YEAR(InputData[[#This Row],[DATE]])</f>
        <v>2022</v>
      </c>
    </row>
    <row r="333" spans="1:16" x14ac:dyDescent="0.3">
      <c r="A333" s="3">
        <v>44669</v>
      </c>
      <c r="B333" s="4" t="s">
        <v>92</v>
      </c>
      <c r="C333" s="5">
        <v>9</v>
      </c>
      <c r="D333" s="5" t="s">
        <v>108</v>
      </c>
      <c r="E333" s="5" t="s">
        <v>107</v>
      </c>
      <c r="F333" s="6">
        <v>0</v>
      </c>
      <c r="G333" t="str">
        <f>VLOOKUP(InputData[[#This Row],[PRODUCT ID]],MasterData[],2,)</f>
        <v>Product41</v>
      </c>
      <c r="H333" t="str">
        <f>VLOOKUP(InputData[[#This Row],[PRODUCT ID]],MasterData[],3,)</f>
        <v>Category05</v>
      </c>
      <c r="I333" t="str">
        <f>VLOOKUP(InputData[[#This Row],[PRODUCT ID]],MasterData[],4,)</f>
        <v>Ft</v>
      </c>
      <c r="J333" s="7">
        <f>VLOOKUP(InputData[[#This Row],[PRODUCT ID]],MasterData[],5,)</f>
        <v>138</v>
      </c>
      <c r="K333" s="7">
        <f>VLOOKUP(InputData[[#This Row],[PRODUCT ID]],MasterData[],6,)</f>
        <v>173.88</v>
      </c>
      <c r="L333" s="7">
        <f>InputData[[#This Row],[BUYING PRIZE]]*InputData[[#This Row],[QUANTITY]]</f>
        <v>1242</v>
      </c>
      <c r="M333" s="7">
        <f>InputData[[#This Row],[SELLING PRICE]]*InputData[[#This Row],[QUANTITY]]*(1-InputData[[#This Row],[DISCOUNT %]])</f>
        <v>1564.92</v>
      </c>
      <c r="N333">
        <f>DAY(InputData[[#This Row],[DATE]])</f>
        <v>18</v>
      </c>
      <c r="O333" t="str">
        <f>TEXT(InputData[[#This Row],[DATE]],"mmm")</f>
        <v>Apr</v>
      </c>
      <c r="P333">
        <f>YEAR(InputData[[#This Row],[DATE]])</f>
        <v>2022</v>
      </c>
    </row>
    <row r="334" spans="1:16" x14ac:dyDescent="0.3">
      <c r="A334" s="3">
        <v>44671</v>
      </c>
      <c r="B334" s="4" t="s">
        <v>43</v>
      </c>
      <c r="C334" s="5">
        <v>2</v>
      </c>
      <c r="D334" s="5" t="s">
        <v>105</v>
      </c>
      <c r="E334" s="5" t="s">
        <v>106</v>
      </c>
      <c r="F334" s="6">
        <v>0</v>
      </c>
      <c r="G334" t="str">
        <f>VLOOKUP(InputData[[#This Row],[PRODUCT ID]],MasterData[],2,)</f>
        <v>Product18</v>
      </c>
      <c r="H334" t="str">
        <f>VLOOKUP(InputData[[#This Row],[PRODUCT ID]],MasterData[],3,)</f>
        <v>Category02</v>
      </c>
      <c r="I334" t="str">
        <f>VLOOKUP(InputData[[#This Row],[PRODUCT ID]],MasterData[],4,)</f>
        <v>No.</v>
      </c>
      <c r="J334" s="7">
        <f>VLOOKUP(InputData[[#This Row],[PRODUCT ID]],MasterData[],5,)</f>
        <v>37</v>
      </c>
      <c r="K334" s="7">
        <f>VLOOKUP(InputData[[#This Row],[PRODUCT ID]],MasterData[],6,)</f>
        <v>49.21</v>
      </c>
      <c r="L334" s="7">
        <f>InputData[[#This Row],[BUYING PRIZE]]*InputData[[#This Row],[QUANTITY]]</f>
        <v>74</v>
      </c>
      <c r="M334" s="7">
        <f>InputData[[#This Row],[SELLING PRICE]]*InputData[[#This Row],[QUANTITY]]*(1-InputData[[#This Row],[DISCOUNT %]])</f>
        <v>98.42</v>
      </c>
      <c r="N334">
        <f>DAY(InputData[[#This Row],[DATE]])</f>
        <v>20</v>
      </c>
      <c r="O334" t="str">
        <f>TEXT(InputData[[#This Row],[DATE]],"mmm")</f>
        <v>Apr</v>
      </c>
      <c r="P334">
        <f>YEAR(InputData[[#This Row],[DATE]])</f>
        <v>2022</v>
      </c>
    </row>
    <row r="335" spans="1:16" x14ac:dyDescent="0.3">
      <c r="A335" s="3">
        <v>44671</v>
      </c>
      <c r="B335" s="4" t="s">
        <v>31</v>
      </c>
      <c r="C335" s="5">
        <v>4</v>
      </c>
      <c r="D335" s="5" t="s">
        <v>108</v>
      </c>
      <c r="E335" s="5" t="s">
        <v>106</v>
      </c>
      <c r="F335" s="6">
        <v>0</v>
      </c>
      <c r="G335" t="str">
        <f>VLOOKUP(InputData[[#This Row],[PRODUCT ID]],MasterData[],2,)</f>
        <v>Product12</v>
      </c>
      <c r="H335" t="str">
        <f>VLOOKUP(InputData[[#This Row],[PRODUCT ID]],MasterData[],3,)</f>
        <v>Category02</v>
      </c>
      <c r="I335" t="str">
        <f>VLOOKUP(InputData[[#This Row],[PRODUCT ID]],MasterData[],4,)</f>
        <v>Kg</v>
      </c>
      <c r="J335" s="7">
        <f>VLOOKUP(InputData[[#This Row],[PRODUCT ID]],MasterData[],5,)</f>
        <v>73</v>
      </c>
      <c r="K335" s="7">
        <f>VLOOKUP(InputData[[#This Row],[PRODUCT ID]],MasterData[],6,)</f>
        <v>94.17</v>
      </c>
      <c r="L335" s="7">
        <f>InputData[[#This Row],[BUYING PRIZE]]*InputData[[#This Row],[QUANTITY]]</f>
        <v>292</v>
      </c>
      <c r="M335" s="7">
        <f>InputData[[#This Row],[SELLING PRICE]]*InputData[[#This Row],[QUANTITY]]*(1-InputData[[#This Row],[DISCOUNT %]])</f>
        <v>376.68</v>
      </c>
      <c r="N335">
        <f>DAY(InputData[[#This Row],[DATE]])</f>
        <v>20</v>
      </c>
      <c r="O335" t="str">
        <f>TEXT(InputData[[#This Row],[DATE]],"mmm")</f>
        <v>Apr</v>
      </c>
      <c r="P335">
        <f>YEAR(InputData[[#This Row],[DATE]])</f>
        <v>2022</v>
      </c>
    </row>
    <row r="336" spans="1:16" x14ac:dyDescent="0.3">
      <c r="A336" s="3">
        <v>44672</v>
      </c>
      <c r="B336" s="4" t="s">
        <v>69</v>
      </c>
      <c r="C336" s="5">
        <v>2</v>
      </c>
      <c r="D336" s="5" t="s">
        <v>108</v>
      </c>
      <c r="E336" s="5" t="s">
        <v>107</v>
      </c>
      <c r="F336" s="6">
        <v>0</v>
      </c>
      <c r="G336" t="str">
        <f>VLOOKUP(InputData[[#This Row],[PRODUCT ID]],MasterData[],2,)</f>
        <v>Product30</v>
      </c>
      <c r="H336" t="str">
        <f>VLOOKUP(InputData[[#This Row],[PRODUCT ID]],MasterData[],3,)</f>
        <v>Category04</v>
      </c>
      <c r="I336" t="str">
        <f>VLOOKUP(InputData[[#This Row],[PRODUCT ID]],MasterData[],4,)</f>
        <v>Ft</v>
      </c>
      <c r="J336" s="7">
        <f>VLOOKUP(InputData[[#This Row],[PRODUCT ID]],MasterData[],5,)</f>
        <v>148</v>
      </c>
      <c r="K336" s="7">
        <f>VLOOKUP(InputData[[#This Row],[PRODUCT ID]],MasterData[],6,)</f>
        <v>201.28</v>
      </c>
      <c r="L336" s="7">
        <f>InputData[[#This Row],[BUYING PRIZE]]*InputData[[#This Row],[QUANTITY]]</f>
        <v>296</v>
      </c>
      <c r="M336" s="7">
        <f>InputData[[#This Row],[SELLING PRICE]]*InputData[[#This Row],[QUANTITY]]*(1-InputData[[#This Row],[DISCOUNT %]])</f>
        <v>402.56</v>
      </c>
      <c r="N336">
        <f>DAY(InputData[[#This Row],[DATE]])</f>
        <v>21</v>
      </c>
      <c r="O336" t="str">
        <f>TEXT(InputData[[#This Row],[DATE]],"mmm")</f>
        <v>Apr</v>
      </c>
      <c r="P336">
        <f>YEAR(InputData[[#This Row],[DATE]])</f>
        <v>2022</v>
      </c>
    </row>
    <row r="337" spans="1:16" x14ac:dyDescent="0.3">
      <c r="A337" s="3">
        <v>44672</v>
      </c>
      <c r="B337" s="4" t="s">
        <v>60</v>
      </c>
      <c r="C337" s="5">
        <v>14</v>
      </c>
      <c r="D337" s="5" t="s">
        <v>106</v>
      </c>
      <c r="E337" s="5" t="s">
        <v>106</v>
      </c>
      <c r="F337" s="6">
        <v>0</v>
      </c>
      <c r="G337" t="str">
        <f>VLOOKUP(InputData[[#This Row],[PRODUCT ID]],MasterData[],2,)</f>
        <v>Product26</v>
      </c>
      <c r="H337" t="str">
        <f>VLOOKUP(InputData[[#This Row],[PRODUCT ID]],MasterData[],3,)</f>
        <v>Category04</v>
      </c>
      <c r="I337" t="str">
        <f>VLOOKUP(InputData[[#This Row],[PRODUCT ID]],MasterData[],4,)</f>
        <v>No.</v>
      </c>
      <c r="J337" s="7">
        <f>VLOOKUP(InputData[[#This Row],[PRODUCT ID]],MasterData[],5,)</f>
        <v>18</v>
      </c>
      <c r="K337" s="7">
        <f>VLOOKUP(InputData[[#This Row],[PRODUCT ID]],MasterData[],6,)</f>
        <v>24.66</v>
      </c>
      <c r="L337" s="7">
        <f>InputData[[#This Row],[BUYING PRIZE]]*InputData[[#This Row],[QUANTITY]]</f>
        <v>252</v>
      </c>
      <c r="M337" s="7">
        <f>InputData[[#This Row],[SELLING PRICE]]*InputData[[#This Row],[QUANTITY]]*(1-InputData[[#This Row],[DISCOUNT %]])</f>
        <v>345.24</v>
      </c>
      <c r="N337">
        <f>DAY(InputData[[#This Row],[DATE]])</f>
        <v>21</v>
      </c>
      <c r="O337" t="str">
        <f>TEXT(InputData[[#This Row],[DATE]],"mmm")</f>
        <v>Apr</v>
      </c>
      <c r="P337">
        <f>YEAR(InputData[[#This Row],[DATE]])</f>
        <v>2022</v>
      </c>
    </row>
    <row r="338" spans="1:16" x14ac:dyDescent="0.3">
      <c r="A338" s="3">
        <v>44674</v>
      </c>
      <c r="B338" s="4" t="s">
        <v>98</v>
      </c>
      <c r="C338" s="5">
        <v>15</v>
      </c>
      <c r="D338" s="5" t="s">
        <v>106</v>
      </c>
      <c r="E338" s="5" t="s">
        <v>106</v>
      </c>
      <c r="F338" s="6">
        <v>0</v>
      </c>
      <c r="G338" t="str">
        <f>VLOOKUP(InputData[[#This Row],[PRODUCT ID]],MasterData[],2,)</f>
        <v>Product44</v>
      </c>
      <c r="H338" t="str">
        <f>VLOOKUP(InputData[[#This Row],[PRODUCT ID]],MasterData[],3,)</f>
        <v>Category05</v>
      </c>
      <c r="I338" t="str">
        <f>VLOOKUP(InputData[[#This Row],[PRODUCT ID]],MasterData[],4,)</f>
        <v>Kg</v>
      </c>
      <c r="J338" s="7">
        <f>VLOOKUP(InputData[[#This Row],[PRODUCT ID]],MasterData[],5,)</f>
        <v>76</v>
      </c>
      <c r="K338" s="7">
        <f>VLOOKUP(InputData[[#This Row],[PRODUCT ID]],MasterData[],6,)</f>
        <v>82.08</v>
      </c>
      <c r="L338" s="7">
        <f>InputData[[#This Row],[BUYING PRIZE]]*InputData[[#This Row],[QUANTITY]]</f>
        <v>1140</v>
      </c>
      <c r="M338" s="7">
        <f>InputData[[#This Row],[SELLING PRICE]]*InputData[[#This Row],[QUANTITY]]*(1-InputData[[#This Row],[DISCOUNT %]])</f>
        <v>1231.2</v>
      </c>
      <c r="N338">
        <f>DAY(InputData[[#This Row],[DATE]])</f>
        <v>23</v>
      </c>
      <c r="O338" t="str">
        <f>TEXT(InputData[[#This Row],[DATE]],"mmm")</f>
        <v>Apr</v>
      </c>
      <c r="P338">
        <f>YEAR(InputData[[#This Row],[DATE]])</f>
        <v>2022</v>
      </c>
    </row>
    <row r="339" spans="1:16" x14ac:dyDescent="0.3">
      <c r="A339" s="3">
        <v>44675</v>
      </c>
      <c r="B339" s="4" t="s">
        <v>77</v>
      </c>
      <c r="C339" s="5">
        <v>4</v>
      </c>
      <c r="D339" s="5" t="s">
        <v>108</v>
      </c>
      <c r="E339" s="5" t="s">
        <v>106</v>
      </c>
      <c r="F339" s="6">
        <v>0</v>
      </c>
      <c r="G339" t="str">
        <f>VLOOKUP(InputData[[#This Row],[PRODUCT ID]],MasterData[],2,)</f>
        <v>Product34</v>
      </c>
      <c r="H339" t="str">
        <f>VLOOKUP(InputData[[#This Row],[PRODUCT ID]],MasterData[],3,)</f>
        <v>Category04</v>
      </c>
      <c r="I339" t="str">
        <f>VLOOKUP(InputData[[#This Row],[PRODUCT ID]],MasterData[],4,)</f>
        <v>Lt</v>
      </c>
      <c r="J339" s="7">
        <f>VLOOKUP(InputData[[#This Row],[PRODUCT ID]],MasterData[],5,)</f>
        <v>55</v>
      </c>
      <c r="K339" s="7">
        <f>VLOOKUP(InputData[[#This Row],[PRODUCT ID]],MasterData[],6,)</f>
        <v>58.3</v>
      </c>
      <c r="L339" s="7">
        <f>InputData[[#This Row],[BUYING PRIZE]]*InputData[[#This Row],[QUANTITY]]</f>
        <v>220</v>
      </c>
      <c r="M339" s="7">
        <f>InputData[[#This Row],[SELLING PRICE]]*InputData[[#This Row],[QUANTITY]]*(1-InputData[[#This Row],[DISCOUNT %]])</f>
        <v>233.2</v>
      </c>
      <c r="N339">
        <f>DAY(InputData[[#This Row],[DATE]])</f>
        <v>24</v>
      </c>
      <c r="O339" t="str">
        <f>TEXT(InputData[[#This Row],[DATE]],"mmm")</f>
        <v>Apr</v>
      </c>
      <c r="P339">
        <f>YEAR(InputData[[#This Row],[DATE]])</f>
        <v>2022</v>
      </c>
    </row>
    <row r="340" spans="1:16" x14ac:dyDescent="0.3">
      <c r="A340" s="3">
        <v>44676</v>
      </c>
      <c r="B340" s="4" t="s">
        <v>14</v>
      </c>
      <c r="C340" s="5">
        <v>9</v>
      </c>
      <c r="D340" s="5" t="s">
        <v>108</v>
      </c>
      <c r="E340" s="5" t="s">
        <v>107</v>
      </c>
      <c r="F340" s="6">
        <v>0</v>
      </c>
      <c r="G340" t="str">
        <f>VLOOKUP(InputData[[#This Row],[PRODUCT ID]],MasterData[],2,)</f>
        <v>Product04</v>
      </c>
      <c r="H340" t="str">
        <f>VLOOKUP(InputData[[#This Row],[PRODUCT ID]],MasterData[],3,)</f>
        <v>Category01</v>
      </c>
      <c r="I340" t="str">
        <f>VLOOKUP(InputData[[#This Row],[PRODUCT ID]],MasterData[],4,)</f>
        <v>Lt</v>
      </c>
      <c r="J340" s="7">
        <f>VLOOKUP(InputData[[#This Row],[PRODUCT ID]],MasterData[],5,)</f>
        <v>44</v>
      </c>
      <c r="K340" s="7">
        <f>VLOOKUP(InputData[[#This Row],[PRODUCT ID]],MasterData[],6,)</f>
        <v>48.84</v>
      </c>
      <c r="L340" s="7">
        <f>InputData[[#This Row],[BUYING PRIZE]]*InputData[[#This Row],[QUANTITY]]</f>
        <v>396</v>
      </c>
      <c r="M340" s="7">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3">
      <c r="A341" s="3">
        <v>44676</v>
      </c>
      <c r="B341" s="4" t="s">
        <v>12</v>
      </c>
      <c r="C341" s="5">
        <v>8</v>
      </c>
      <c r="D341" s="5" t="s">
        <v>106</v>
      </c>
      <c r="E341" s="5" t="s">
        <v>106</v>
      </c>
      <c r="F341" s="6">
        <v>0</v>
      </c>
      <c r="G341" t="str">
        <f>VLOOKUP(InputData[[#This Row],[PRODUCT ID]],MasterData[],2,)</f>
        <v>Product03</v>
      </c>
      <c r="H341" t="str">
        <f>VLOOKUP(InputData[[#This Row],[PRODUCT ID]],MasterData[],3,)</f>
        <v>Category01</v>
      </c>
      <c r="I341" t="str">
        <f>VLOOKUP(InputData[[#This Row],[PRODUCT ID]],MasterData[],4,)</f>
        <v>Kg</v>
      </c>
      <c r="J341" s="7">
        <f>VLOOKUP(InputData[[#This Row],[PRODUCT ID]],MasterData[],5,)</f>
        <v>71</v>
      </c>
      <c r="K341" s="7">
        <f>VLOOKUP(InputData[[#This Row],[PRODUCT ID]],MasterData[],6,)</f>
        <v>80.94</v>
      </c>
      <c r="L341" s="7">
        <f>InputData[[#This Row],[BUYING PRIZE]]*InputData[[#This Row],[QUANTITY]]</f>
        <v>568</v>
      </c>
      <c r="M341" s="7">
        <f>InputData[[#This Row],[SELLING PRICE]]*InputData[[#This Row],[QUANTITY]]*(1-InputData[[#This Row],[DISCOUNT %]])</f>
        <v>647.52</v>
      </c>
      <c r="N341">
        <f>DAY(InputData[[#This Row],[DATE]])</f>
        <v>25</v>
      </c>
      <c r="O341" t="str">
        <f>TEXT(InputData[[#This Row],[DATE]],"mmm")</f>
        <v>Apr</v>
      </c>
      <c r="P341">
        <f>YEAR(InputData[[#This Row],[DATE]])</f>
        <v>2022</v>
      </c>
    </row>
    <row r="342" spans="1:16" x14ac:dyDescent="0.3">
      <c r="A342" s="3">
        <v>44677</v>
      </c>
      <c r="B342" s="4" t="s">
        <v>63</v>
      </c>
      <c r="C342" s="5">
        <v>2</v>
      </c>
      <c r="D342" s="5" t="s">
        <v>108</v>
      </c>
      <c r="E342" s="5" t="s">
        <v>107</v>
      </c>
      <c r="F342" s="6">
        <v>0</v>
      </c>
      <c r="G342" t="str">
        <f>VLOOKUP(InputData[[#This Row],[PRODUCT ID]],MasterData[],2,)</f>
        <v>Product27</v>
      </c>
      <c r="H342" t="str">
        <f>VLOOKUP(InputData[[#This Row],[PRODUCT ID]],MasterData[],3,)</f>
        <v>Category04</v>
      </c>
      <c r="I342" t="str">
        <f>VLOOKUP(InputData[[#This Row],[PRODUCT ID]],MasterData[],4,)</f>
        <v>Lt</v>
      </c>
      <c r="J342" s="7">
        <f>VLOOKUP(InputData[[#This Row],[PRODUCT ID]],MasterData[],5,)</f>
        <v>48</v>
      </c>
      <c r="K342" s="7">
        <f>VLOOKUP(InputData[[#This Row],[PRODUCT ID]],MasterData[],6,)</f>
        <v>57.120000000000005</v>
      </c>
      <c r="L342" s="7">
        <f>InputData[[#This Row],[BUYING PRIZE]]*InputData[[#This Row],[QUANTITY]]</f>
        <v>96</v>
      </c>
      <c r="M342" s="7">
        <f>InputData[[#This Row],[SELLING PRICE]]*InputData[[#This Row],[QUANTITY]]*(1-InputData[[#This Row],[DISCOUNT %]])</f>
        <v>114.24000000000001</v>
      </c>
      <c r="N342">
        <f>DAY(InputData[[#This Row],[DATE]])</f>
        <v>26</v>
      </c>
      <c r="O342" t="str">
        <f>TEXT(InputData[[#This Row],[DATE]],"mmm")</f>
        <v>Apr</v>
      </c>
      <c r="P342">
        <f>YEAR(InputData[[#This Row],[DATE]])</f>
        <v>2022</v>
      </c>
    </row>
    <row r="343" spans="1:16" x14ac:dyDescent="0.3">
      <c r="A343" s="3">
        <v>44679</v>
      </c>
      <c r="B343" s="4" t="s">
        <v>35</v>
      </c>
      <c r="C343" s="5">
        <v>14</v>
      </c>
      <c r="D343" s="5" t="s">
        <v>108</v>
      </c>
      <c r="E343" s="5" t="s">
        <v>107</v>
      </c>
      <c r="F343" s="6">
        <v>0</v>
      </c>
      <c r="G343" t="str">
        <f>VLOOKUP(InputData[[#This Row],[PRODUCT ID]],MasterData[],2,)</f>
        <v>Product14</v>
      </c>
      <c r="H343" t="str">
        <f>VLOOKUP(InputData[[#This Row],[PRODUCT ID]],MasterData[],3,)</f>
        <v>Category02</v>
      </c>
      <c r="I343" t="str">
        <f>VLOOKUP(InputData[[#This Row],[PRODUCT ID]],MasterData[],4,)</f>
        <v>Kg</v>
      </c>
      <c r="J343" s="7">
        <f>VLOOKUP(InputData[[#This Row],[PRODUCT ID]],MasterData[],5,)</f>
        <v>112</v>
      </c>
      <c r="K343" s="7">
        <f>VLOOKUP(InputData[[#This Row],[PRODUCT ID]],MasterData[],6,)</f>
        <v>146.72</v>
      </c>
      <c r="L343" s="7">
        <f>InputData[[#This Row],[BUYING PRIZE]]*InputData[[#This Row],[QUANTITY]]</f>
        <v>1568</v>
      </c>
      <c r="M343" s="7">
        <f>InputData[[#This Row],[SELLING PRICE]]*InputData[[#This Row],[QUANTITY]]*(1-InputData[[#This Row],[DISCOUNT %]])</f>
        <v>2054.08</v>
      </c>
      <c r="N343">
        <f>DAY(InputData[[#This Row],[DATE]])</f>
        <v>28</v>
      </c>
      <c r="O343" t="str">
        <f>TEXT(InputData[[#This Row],[DATE]],"mmm")</f>
        <v>Apr</v>
      </c>
      <c r="P343">
        <f>YEAR(InputData[[#This Row],[DATE]])</f>
        <v>2022</v>
      </c>
    </row>
    <row r="344" spans="1:16" x14ac:dyDescent="0.3">
      <c r="A344" s="3">
        <v>44681</v>
      </c>
      <c r="B344" s="4" t="s">
        <v>39</v>
      </c>
      <c r="C344" s="5">
        <v>13</v>
      </c>
      <c r="D344" s="5" t="s">
        <v>106</v>
      </c>
      <c r="E344" s="5" t="s">
        <v>106</v>
      </c>
      <c r="F344" s="6">
        <v>0</v>
      </c>
      <c r="G344" t="str">
        <f>VLOOKUP(InputData[[#This Row],[PRODUCT ID]],MasterData[],2,)</f>
        <v>Product16</v>
      </c>
      <c r="H344" t="str">
        <f>VLOOKUP(InputData[[#This Row],[PRODUCT ID]],MasterData[],3,)</f>
        <v>Category02</v>
      </c>
      <c r="I344" t="str">
        <f>VLOOKUP(InputData[[#This Row],[PRODUCT ID]],MasterData[],4,)</f>
        <v>No.</v>
      </c>
      <c r="J344" s="7">
        <f>VLOOKUP(InputData[[#This Row],[PRODUCT ID]],MasterData[],5,)</f>
        <v>13</v>
      </c>
      <c r="K344" s="7">
        <f>VLOOKUP(InputData[[#This Row],[PRODUCT ID]],MasterData[],6,)</f>
        <v>16.64</v>
      </c>
      <c r="L344" s="7">
        <f>InputData[[#This Row],[BUYING PRIZE]]*InputData[[#This Row],[QUANTITY]]</f>
        <v>169</v>
      </c>
      <c r="M344" s="7">
        <f>InputData[[#This Row],[SELLING PRICE]]*InputData[[#This Row],[QUANTITY]]*(1-InputData[[#This Row],[DISCOUNT %]])</f>
        <v>216.32</v>
      </c>
      <c r="N344">
        <f>DAY(InputData[[#This Row],[DATE]])</f>
        <v>30</v>
      </c>
      <c r="O344" t="str">
        <f>TEXT(InputData[[#This Row],[DATE]],"mmm")</f>
        <v>Apr</v>
      </c>
      <c r="P344">
        <f>YEAR(InputData[[#This Row],[DATE]])</f>
        <v>2022</v>
      </c>
    </row>
    <row r="345" spans="1:16" x14ac:dyDescent="0.3">
      <c r="A345" s="3">
        <v>44681</v>
      </c>
      <c r="B345" s="4" t="s">
        <v>63</v>
      </c>
      <c r="C345" s="5">
        <v>8</v>
      </c>
      <c r="D345" s="5" t="s">
        <v>108</v>
      </c>
      <c r="E345" s="5" t="s">
        <v>106</v>
      </c>
      <c r="F345" s="6">
        <v>0</v>
      </c>
      <c r="G345" t="str">
        <f>VLOOKUP(InputData[[#This Row],[PRODUCT ID]],MasterData[],2,)</f>
        <v>Product27</v>
      </c>
      <c r="H345" t="str">
        <f>VLOOKUP(InputData[[#This Row],[PRODUCT ID]],MasterData[],3,)</f>
        <v>Category04</v>
      </c>
      <c r="I345" t="str">
        <f>VLOOKUP(InputData[[#This Row],[PRODUCT ID]],MasterData[],4,)</f>
        <v>Lt</v>
      </c>
      <c r="J345" s="7">
        <f>VLOOKUP(InputData[[#This Row],[PRODUCT ID]],MasterData[],5,)</f>
        <v>48</v>
      </c>
      <c r="K345" s="7">
        <f>VLOOKUP(InputData[[#This Row],[PRODUCT ID]],MasterData[],6,)</f>
        <v>57.120000000000005</v>
      </c>
      <c r="L345" s="7">
        <f>InputData[[#This Row],[BUYING PRIZE]]*InputData[[#This Row],[QUANTITY]]</f>
        <v>384</v>
      </c>
      <c r="M345" s="7">
        <f>InputData[[#This Row],[SELLING PRICE]]*InputData[[#This Row],[QUANTITY]]*(1-InputData[[#This Row],[DISCOUNT %]])</f>
        <v>456.96000000000004</v>
      </c>
      <c r="N345">
        <f>DAY(InputData[[#This Row],[DATE]])</f>
        <v>30</v>
      </c>
      <c r="O345" t="str">
        <f>TEXT(InputData[[#This Row],[DATE]],"mmm")</f>
        <v>Apr</v>
      </c>
      <c r="P345">
        <f>YEAR(InputData[[#This Row],[DATE]])</f>
        <v>2022</v>
      </c>
    </row>
    <row r="346" spans="1:16" x14ac:dyDescent="0.3">
      <c r="A346" s="3">
        <v>44682</v>
      </c>
      <c r="B346" s="4" t="s">
        <v>77</v>
      </c>
      <c r="C346" s="5">
        <v>9</v>
      </c>
      <c r="D346" s="5" t="s">
        <v>105</v>
      </c>
      <c r="E346" s="5" t="s">
        <v>106</v>
      </c>
      <c r="F346" s="6">
        <v>0</v>
      </c>
      <c r="G346" t="str">
        <f>VLOOKUP(InputData[[#This Row],[PRODUCT ID]],MasterData[],2,)</f>
        <v>Product34</v>
      </c>
      <c r="H346" t="str">
        <f>VLOOKUP(InputData[[#This Row],[PRODUCT ID]],MasterData[],3,)</f>
        <v>Category04</v>
      </c>
      <c r="I346" t="str">
        <f>VLOOKUP(InputData[[#This Row],[PRODUCT ID]],MasterData[],4,)</f>
        <v>Lt</v>
      </c>
      <c r="J346" s="7">
        <f>VLOOKUP(InputData[[#This Row],[PRODUCT ID]],MasterData[],5,)</f>
        <v>55</v>
      </c>
      <c r="K346" s="7">
        <f>VLOOKUP(InputData[[#This Row],[PRODUCT ID]],MasterData[],6,)</f>
        <v>58.3</v>
      </c>
      <c r="L346" s="7">
        <f>InputData[[#This Row],[BUYING PRIZE]]*InputData[[#This Row],[QUANTITY]]</f>
        <v>495</v>
      </c>
      <c r="M346" s="7">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3">
      <c r="A347" s="3">
        <v>44682</v>
      </c>
      <c r="B347" s="4" t="s">
        <v>75</v>
      </c>
      <c r="C347" s="5">
        <v>6</v>
      </c>
      <c r="D347" s="5" t="s">
        <v>106</v>
      </c>
      <c r="E347" s="5" t="s">
        <v>106</v>
      </c>
      <c r="F347" s="6">
        <v>0</v>
      </c>
      <c r="G347" t="str">
        <f>VLOOKUP(InputData[[#This Row],[PRODUCT ID]],MasterData[],2,)</f>
        <v>Product33</v>
      </c>
      <c r="H347" t="str">
        <f>VLOOKUP(InputData[[#This Row],[PRODUCT ID]],MasterData[],3,)</f>
        <v>Category04</v>
      </c>
      <c r="I347" t="str">
        <f>VLOOKUP(InputData[[#This Row],[PRODUCT ID]],MasterData[],4,)</f>
        <v>Kg</v>
      </c>
      <c r="J347" s="7">
        <f>VLOOKUP(InputData[[#This Row],[PRODUCT ID]],MasterData[],5,)</f>
        <v>95</v>
      </c>
      <c r="K347" s="7">
        <f>VLOOKUP(InputData[[#This Row],[PRODUCT ID]],MasterData[],6,)</f>
        <v>119.7</v>
      </c>
      <c r="L347" s="7">
        <f>InputData[[#This Row],[BUYING PRIZE]]*InputData[[#This Row],[QUANTITY]]</f>
        <v>570</v>
      </c>
      <c r="M347" s="7">
        <f>InputData[[#This Row],[SELLING PRICE]]*InputData[[#This Row],[QUANTITY]]*(1-InputData[[#This Row],[DISCOUNT %]])</f>
        <v>718.2</v>
      </c>
      <c r="N347">
        <f>DAY(InputData[[#This Row],[DATE]])</f>
        <v>1</v>
      </c>
      <c r="O347" t="str">
        <f>TEXT(InputData[[#This Row],[DATE]],"mmm")</f>
        <v>May</v>
      </c>
      <c r="P347">
        <f>YEAR(InputData[[#This Row],[DATE]])</f>
        <v>2022</v>
      </c>
    </row>
    <row r="348" spans="1:16" x14ac:dyDescent="0.3">
      <c r="A348" s="3">
        <v>44683</v>
      </c>
      <c r="B348" s="4" t="s">
        <v>33</v>
      </c>
      <c r="C348" s="5">
        <v>4</v>
      </c>
      <c r="D348" s="5" t="s">
        <v>106</v>
      </c>
      <c r="E348" s="5" t="s">
        <v>107</v>
      </c>
      <c r="F348" s="6">
        <v>0</v>
      </c>
      <c r="G348" t="str">
        <f>VLOOKUP(InputData[[#This Row],[PRODUCT ID]],MasterData[],2,)</f>
        <v>Product13</v>
      </c>
      <c r="H348" t="str">
        <f>VLOOKUP(InputData[[#This Row],[PRODUCT ID]],MasterData[],3,)</f>
        <v>Category02</v>
      </c>
      <c r="I348" t="str">
        <f>VLOOKUP(InputData[[#This Row],[PRODUCT ID]],MasterData[],4,)</f>
        <v>Kg</v>
      </c>
      <c r="J348" s="7">
        <f>VLOOKUP(InputData[[#This Row],[PRODUCT ID]],MasterData[],5,)</f>
        <v>112</v>
      </c>
      <c r="K348" s="7">
        <f>VLOOKUP(InputData[[#This Row],[PRODUCT ID]],MasterData[],6,)</f>
        <v>122.08</v>
      </c>
      <c r="L348" s="7">
        <f>InputData[[#This Row],[BUYING PRIZE]]*InputData[[#This Row],[QUANTITY]]</f>
        <v>448</v>
      </c>
      <c r="M348" s="7">
        <f>InputData[[#This Row],[SELLING PRICE]]*InputData[[#This Row],[QUANTITY]]*(1-InputData[[#This Row],[DISCOUNT %]])</f>
        <v>488.32</v>
      </c>
      <c r="N348">
        <f>DAY(InputData[[#This Row],[DATE]])</f>
        <v>2</v>
      </c>
      <c r="O348" t="str">
        <f>TEXT(InputData[[#This Row],[DATE]],"mmm")</f>
        <v>May</v>
      </c>
      <c r="P348">
        <f>YEAR(InputData[[#This Row],[DATE]])</f>
        <v>2022</v>
      </c>
    </row>
    <row r="349" spans="1:16" x14ac:dyDescent="0.3">
      <c r="A349" s="3">
        <v>44685</v>
      </c>
      <c r="B349" s="4" t="s">
        <v>47</v>
      </c>
      <c r="C349" s="5">
        <v>10</v>
      </c>
      <c r="D349" s="5" t="s">
        <v>108</v>
      </c>
      <c r="E349" s="5" t="s">
        <v>106</v>
      </c>
      <c r="F349" s="6">
        <v>0</v>
      </c>
      <c r="G349" t="str">
        <f>VLOOKUP(InputData[[#This Row],[PRODUCT ID]],MasterData[],2,)</f>
        <v>Product20</v>
      </c>
      <c r="H349" t="str">
        <f>VLOOKUP(InputData[[#This Row],[PRODUCT ID]],MasterData[],3,)</f>
        <v>Category03</v>
      </c>
      <c r="I349" t="str">
        <f>VLOOKUP(InputData[[#This Row],[PRODUCT ID]],MasterData[],4,)</f>
        <v>Lt</v>
      </c>
      <c r="J349" s="7">
        <f>VLOOKUP(InputData[[#This Row],[PRODUCT ID]],MasterData[],5,)</f>
        <v>61</v>
      </c>
      <c r="K349" s="7">
        <f>VLOOKUP(InputData[[#This Row],[PRODUCT ID]],MasterData[],6,)</f>
        <v>76.25</v>
      </c>
      <c r="L349" s="7">
        <f>InputData[[#This Row],[BUYING PRIZE]]*InputData[[#This Row],[QUANTITY]]</f>
        <v>610</v>
      </c>
      <c r="M349" s="7">
        <f>InputData[[#This Row],[SELLING PRICE]]*InputData[[#This Row],[QUANTITY]]*(1-InputData[[#This Row],[DISCOUNT %]])</f>
        <v>762.5</v>
      </c>
      <c r="N349">
        <f>DAY(InputData[[#This Row],[DATE]])</f>
        <v>4</v>
      </c>
      <c r="O349" t="str">
        <f>TEXT(InputData[[#This Row],[DATE]],"mmm")</f>
        <v>May</v>
      </c>
      <c r="P349">
        <f>YEAR(InputData[[#This Row],[DATE]])</f>
        <v>2022</v>
      </c>
    </row>
    <row r="350" spans="1:16" x14ac:dyDescent="0.3">
      <c r="A350" s="3">
        <v>44687</v>
      </c>
      <c r="B350" s="4" t="s">
        <v>77</v>
      </c>
      <c r="C350" s="5">
        <v>7</v>
      </c>
      <c r="D350" s="5" t="s">
        <v>108</v>
      </c>
      <c r="E350" s="5" t="s">
        <v>106</v>
      </c>
      <c r="F350" s="6">
        <v>0</v>
      </c>
      <c r="G350" t="str">
        <f>VLOOKUP(InputData[[#This Row],[PRODUCT ID]],MasterData[],2,)</f>
        <v>Product34</v>
      </c>
      <c r="H350" t="str">
        <f>VLOOKUP(InputData[[#This Row],[PRODUCT ID]],MasterData[],3,)</f>
        <v>Category04</v>
      </c>
      <c r="I350" t="str">
        <f>VLOOKUP(InputData[[#This Row],[PRODUCT ID]],MasterData[],4,)</f>
        <v>Lt</v>
      </c>
      <c r="J350" s="7">
        <f>VLOOKUP(InputData[[#This Row],[PRODUCT ID]],MasterData[],5,)</f>
        <v>55</v>
      </c>
      <c r="K350" s="7">
        <f>VLOOKUP(InputData[[#This Row],[PRODUCT ID]],MasterData[],6,)</f>
        <v>58.3</v>
      </c>
      <c r="L350" s="7">
        <f>InputData[[#This Row],[BUYING PRIZE]]*InputData[[#This Row],[QUANTITY]]</f>
        <v>385</v>
      </c>
      <c r="M350" s="7">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3">
      <c r="A351" s="3">
        <v>44688</v>
      </c>
      <c r="B351" s="4" t="s">
        <v>37</v>
      </c>
      <c r="C351" s="5">
        <v>4</v>
      </c>
      <c r="D351" s="5" t="s">
        <v>106</v>
      </c>
      <c r="E351" s="5" t="s">
        <v>107</v>
      </c>
      <c r="F351" s="6">
        <v>0</v>
      </c>
      <c r="G351" t="str">
        <f>VLOOKUP(InputData[[#This Row],[PRODUCT ID]],MasterData[],2,)</f>
        <v>Product15</v>
      </c>
      <c r="H351" t="str">
        <f>VLOOKUP(InputData[[#This Row],[PRODUCT ID]],MasterData[],3,)</f>
        <v>Category02</v>
      </c>
      <c r="I351" t="str">
        <f>VLOOKUP(InputData[[#This Row],[PRODUCT ID]],MasterData[],4,)</f>
        <v>No.</v>
      </c>
      <c r="J351" s="7">
        <f>VLOOKUP(InputData[[#This Row],[PRODUCT ID]],MasterData[],5,)</f>
        <v>12</v>
      </c>
      <c r="K351" s="7">
        <f>VLOOKUP(InputData[[#This Row],[PRODUCT ID]],MasterData[],6,)</f>
        <v>15.719999999999999</v>
      </c>
      <c r="L351" s="7">
        <f>InputData[[#This Row],[BUYING PRIZE]]*InputData[[#This Row],[QUANTITY]]</f>
        <v>48</v>
      </c>
      <c r="M351" s="7">
        <f>InputData[[#This Row],[SELLING PRICE]]*InputData[[#This Row],[QUANTITY]]*(1-InputData[[#This Row],[DISCOUNT %]])</f>
        <v>62.879999999999995</v>
      </c>
      <c r="N351">
        <f>DAY(InputData[[#This Row],[DATE]])</f>
        <v>7</v>
      </c>
      <c r="O351" t="str">
        <f>TEXT(InputData[[#This Row],[DATE]],"mmm")</f>
        <v>May</v>
      </c>
      <c r="P351">
        <f>YEAR(InputData[[#This Row],[DATE]])</f>
        <v>2022</v>
      </c>
    </row>
    <row r="352" spans="1:16" x14ac:dyDescent="0.3">
      <c r="A352" s="3">
        <v>44688</v>
      </c>
      <c r="B352" s="4" t="s">
        <v>63</v>
      </c>
      <c r="C352" s="5">
        <v>1</v>
      </c>
      <c r="D352" s="5" t="s">
        <v>106</v>
      </c>
      <c r="E352" s="5" t="s">
        <v>106</v>
      </c>
      <c r="F352" s="6">
        <v>0</v>
      </c>
      <c r="G352" t="str">
        <f>VLOOKUP(InputData[[#This Row],[PRODUCT ID]],MasterData[],2,)</f>
        <v>Product27</v>
      </c>
      <c r="H352" t="str">
        <f>VLOOKUP(InputData[[#This Row],[PRODUCT ID]],MasterData[],3,)</f>
        <v>Category04</v>
      </c>
      <c r="I352" t="str">
        <f>VLOOKUP(InputData[[#This Row],[PRODUCT ID]],MasterData[],4,)</f>
        <v>Lt</v>
      </c>
      <c r="J352" s="7">
        <f>VLOOKUP(InputData[[#This Row],[PRODUCT ID]],MasterData[],5,)</f>
        <v>48</v>
      </c>
      <c r="K352" s="7">
        <f>VLOOKUP(InputData[[#This Row],[PRODUCT ID]],MasterData[],6,)</f>
        <v>57.120000000000005</v>
      </c>
      <c r="L352" s="7">
        <f>InputData[[#This Row],[BUYING PRIZE]]*InputData[[#This Row],[QUANTITY]]</f>
        <v>48</v>
      </c>
      <c r="M352" s="7">
        <f>InputData[[#This Row],[SELLING PRICE]]*InputData[[#This Row],[QUANTITY]]*(1-InputData[[#This Row],[DISCOUNT %]])</f>
        <v>57.120000000000005</v>
      </c>
      <c r="N352">
        <f>DAY(InputData[[#This Row],[DATE]])</f>
        <v>7</v>
      </c>
      <c r="O352" t="str">
        <f>TEXT(InputData[[#This Row],[DATE]],"mmm")</f>
        <v>May</v>
      </c>
      <c r="P352">
        <f>YEAR(InputData[[#This Row],[DATE]])</f>
        <v>2022</v>
      </c>
    </row>
    <row r="353" spans="1:16" x14ac:dyDescent="0.3">
      <c r="A353" s="3">
        <v>44689</v>
      </c>
      <c r="B353" s="4" t="s">
        <v>52</v>
      </c>
      <c r="C353" s="5">
        <v>7</v>
      </c>
      <c r="D353" s="5" t="s">
        <v>106</v>
      </c>
      <c r="E353" s="5" t="s">
        <v>106</v>
      </c>
      <c r="F353" s="6">
        <v>0</v>
      </c>
      <c r="G353" t="str">
        <f>VLOOKUP(InputData[[#This Row],[PRODUCT ID]],MasterData[],2,)</f>
        <v>Product22</v>
      </c>
      <c r="H353" t="str">
        <f>VLOOKUP(InputData[[#This Row],[PRODUCT ID]],MasterData[],3,)</f>
        <v>Category03</v>
      </c>
      <c r="I353" t="str">
        <f>VLOOKUP(InputData[[#This Row],[PRODUCT ID]],MasterData[],4,)</f>
        <v>Ft</v>
      </c>
      <c r="J353" s="7">
        <f>VLOOKUP(InputData[[#This Row],[PRODUCT ID]],MasterData[],5,)</f>
        <v>121</v>
      </c>
      <c r="K353" s="7">
        <f>VLOOKUP(InputData[[#This Row],[PRODUCT ID]],MasterData[],6,)</f>
        <v>141.57</v>
      </c>
      <c r="L353" s="7">
        <f>InputData[[#This Row],[BUYING PRIZE]]*InputData[[#This Row],[QUANTITY]]</f>
        <v>847</v>
      </c>
      <c r="M353" s="7">
        <f>InputData[[#This Row],[SELLING PRICE]]*InputData[[#This Row],[QUANTITY]]*(1-InputData[[#This Row],[DISCOUNT %]])</f>
        <v>990.99</v>
      </c>
      <c r="N353">
        <f>DAY(InputData[[#This Row],[DATE]])</f>
        <v>8</v>
      </c>
      <c r="O353" t="str">
        <f>TEXT(InputData[[#This Row],[DATE]],"mmm")</f>
        <v>May</v>
      </c>
      <c r="P353">
        <f>YEAR(InputData[[#This Row],[DATE]])</f>
        <v>2022</v>
      </c>
    </row>
    <row r="354" spans="1:16" x14ac:dyDescent="0.3">
      <c r="A354" s="3">
        <v>44690</v>
      </c>
      <c r="B354" s="4" t="s">
        <v>41</v>
      </c>
      <c r="C354" s="5">
        <v>12</v>
      </c>
      <c r="D354" s="5" t="s">
        <v>105</v>
      </c>
      <c r="E354" s="5" t="s">
        <v>107</v>
      </c>
      <c r="F354" s="6">
        <v>0</v>
      </c>
      <c r="G354" t="str">
        <f>VLOOKUP(InputData[[#This Row],[PRODUCT ID]],MasterData[],2,)</f>
        <v>Product17</v>
      </c>
      <c r="H354" t="str">
        <f>VLOOKUP(InputData[[#This Row],[PRODUCT ID]],MasterData[],3,)</f>
        <v>Category02</v>
      </c>
      <c r="I354" t="str">
        <f>VLOOKUP(InputData[[#This Row],[PRODUCT ID]],MasterData[],4,)</f>
        <v>Ft</v>
      </c>
      <c r="J354" s="7">
        <f>VLOOKUP(InputData[[#This Row],[PRODUCT ID]],MasterData[],5,)</f>
        <v>134</v>
      </c>
      <c r="K354" s="7">
        <f>VLOOKUP(InputData[[#This Row],[PRODUCT ID]],MasterData[],6,)</f>
        <v>156.78</v>
      </c>
      <c r="L354" s="7">
        <f>InputData[[#This Row],[BUYING PRIZE]]*InputData[[#This Row],[QUANTITY]]</f>
        <v>1608</v>
      </c>
      <c r="M354" s="7">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3">
      <c r="A355" s="3">
        <v>44691</v>
      </c>
      <c r="B355" s="4" t="s">
        <v>24</v>
      </c>
      <c r="C355" s="5">
        <v>6</v>
      </c>
      <c r="D355" s="5" t="s">
        <v>108</v>
      </c>
      <c r="E355" s="5" t="s">
        <v>106</v>
      </c>
      <c r="F355" s="6">
        <v>0</v>
      </c>
      <c r="G355" t="str">
        <f>VLOOKUP(InputData[[#This Row],[PRODUCT ID]],MasterData[],2,)</f>
        <v>Product09</v>
      </c>
      <c r="H355" t="str">
        <f>VLOOKUP(InputData[[#This Row],[PRODUCT ID]],MasterData[],3,)</f>
        <v>Category01</v>
      </c>
      <c r="I355" t="str">
        <f>VLOOKUP(InputData[[#This Row],[PRODUCT ID]],MasterData[],4,)</f>
        <v>No.</v>
      </c>
      <c r="J355" s="7">
        <f>VLOOKUP(InputData[[#This Row],[PRODUCT ID]],MasterData[],5,)</f>
        <v>6</v>
      </c>
      <c r="K355" s="7">
        <f>VLOOKUP(InputData[[#This Row],[PRODUCT ID]],MasterData[],6,)</f>
        <v>7.8599999999999994</v>
      </c>
      <c r="L355" s="7">
        <f>InputData[[#This Row],[BUYING PRIZE]]*InputData[[#This Row],[QUANTITY]]</f>
        <v>36</v>
      </c>
      <c r="M355" s="7">
        <f>InputData[[#This Row],[SELLING PRICE]]*InputData[[#This Row],[QUANTITY]]*(1-InputData[[#This Row],[DISCOUNT %]])</f>
        <v>47.16</v>
      </c>
      <c r="N355">
        <f>DAY(InputData[[#This Row],[DATE]])</f>
        <v>10</v>
      </c>
      <c r="O355" t="str">
        <f>TEXT(InputData[[#This Row],[DATE]],"mmm")</f>
        <v>May</v>
      </c>
      <c r="P355">
        <f>YEAR(InputData[[#This Row],[DATE]])</f>
        <v>2022</v>
      </c>
    </row>
    <row r="356" spans="1:16" x14ac:dyDescent="0.3">
      <c r="A356" s="3">
        <v>44693</v>
      </c>
      <c r="B356" s="4" t="s">
        <v>29</v>
      </c>
      <c r="C356" s="5">
        <v>7</v>
      </c>
      <c r="D356" s="5" t="s">
        <v>106</v>
      </c>
      <c r="E356" s="5" t="s">
        <v>107</v>
      </c>
      <c r="F356" s="6">
        <v>0</v>
      </c>
      <c r="G356" t="str">
        <f>VLOOKUP(InputData[[#This Row],[PRODUCT ID]],MasterData[],2,)</f>
        <v>Product11</v>
      </c>
      <c r="H356" t="str">
        <f>VLOOKUP(InputData[[#This Row],[PRODUCT ID]],MasterData[],3,)</f>
        <v>Category02</v>
      </c>
      <c r="I356" t="str">
        <f>VLOOKUP(InputData[[#This Row],[PRODUCT ID]],MasterData[],4,)</f>
        <v>Lt</v>
      </c>
      <c r="J356" s="7">
        <f>VLOOKUP(InputData[[#This Row],[PRODUCT ID]],MasterData[],5,)</f>
        <v>44</v>
      </c>
      <c r="K356" s="7">
        <f>VLOOKUP(InputData[[#This Row],[PRODUCT ID]],MasterData[],6,)</f>
        <v>48.4</v>
      </c>
      <c r="L356" s="7">
        <f>InputData[[#This Row],[BUYING PRIZE]]*InputData[[#This Row],[QUANTITY]]</f>
        <v>308</v>
      </c>
      <c r="M356" s="7">
        <f>InputData[[#This Row],[SELLING PRICE]]*InputData[[#This Row],[QUANTITY]]*(1-InputData[[#This Row],[DISCOUNT %]])</f>
        <v>338.8</v>
      </c>
      <c r="N356">
        <f>DAY(InputData[[#This Row],[DATE]])</f>
        <v>12</v>
      </c>
      <c r="O356" t="str">
        <f>TEXT(InputData[[#This Row],[DATE]],"mmm")</f>
        <v>May</v>
      </c>
      <c r="P356">
        <f>YEAR(InputData[[#This Row],[DATE]])</f>
        <v>2022</v>
      </c>
    </row>
    <row r="357" spans="1:16" x14ac:dyDescent="0.3">
      <c r="A357" s="3">
        <v>44694</v>
      </c>
      <c r="B357" s="4" t="s">
        <v>31</v>
      </c>
      <c r="C357" s="5">
        <v>5</v>
      </c>
      <c r="D357" s="5" t="s">
        <v>108</v>
      </c>
      <c r="E357" s="5" t="s">
        <v>106</v>
      </c>
      <c r="F357" s="6">
        <v>0</v>
      </c>
      <c r="G357" t="str">
        <f>VLOOKUP(InputData[[#This Row],[PRODUCT ID]],MasterData[],2,)</f>
        <v>Product12</v>
      </c>
      <c r="H357" t="str">
        <f>VLOOKUP(InputData[[#This Row],[PRODUCT ID]],MasterData[],3,)</f>
        <v>Category02</v>
      </c>
      <c r="I357" t="str">
        <f>VLOOKUP(InputData[[#This Row],[PRODUCT ID]],MasterData[],4,)</f>
        <v>Kg</v>
      </c>
      <c r="J357" s="7">
        <f>VLOOKUP(InputData[[#This Row],[PRODUCT ID]],MasterData[],5,)</f>
        <v>73</v>
      </c>
      <c r="K357" s="7">
        <f>VLOOKUP(InputData[[#This Row],[PRODUCT ID]],MasterData[],6,)</f>
        <v>94.17</v>
      </c>
      <c r="L357" s="7">
        <f>InputData[[#This Row],[BUYING PRIZE]]*InputData[[#This Row],[QUANTITY]]</f>
        <v>365</v>
      </c>
      <c r="M357" s="7">
        <f>InputData[[#This Row],[SELLING PRICE]]*InputData[[#This Row],[QUANTITY]]*(1-InputData[[#This Row],[DISCOUNT %]])</f>
        <v>470.85</v>
      </c>
      <c r="N357">
        <f>DAY(InputData[[#This Row],[DATE]])</f>
        <v>13</v>
      </c>
      <c r="O357" t="str">
        <f>TEXT(InputData[[#This Row],[DATE]],"mmm")</f>
        <v>May</v>
      </c>
      <c r="P357">
        <f>YEAR(InputData[[#This Row],[DATE]])</f>
        <v>2022</v>
      </c>
    </row>
    <row r="358" spans="1:16" x14ac:dyDescent="0.3">
      <c r="A358" s="3">
        <v>44695</v>
      </c>
      <c r="B358" s="4" t="s">
        <v>22</v>
      </c>
      <c r="C358" s="5">
        <v>14</v>
      </c>
      <c r="D358" s="5" t="s">
        <v>108</v>
      </c>
      <c r="E358" s="5" t="s">
        <v>107</v>
      </c>
      <c r="F358" s="6">
        <v>0</v>
      </c>
      <c r="G358" t="str">
        <f>VLOOKUP(InputData[[#This Row],[PRODUCT ID]],MasterData[],2,)</f>
        <v>Product08</v>
      </c>
      <c r="H358" t="str">
        <f>VLOOKUP(InputData[[#This Row],[PRODUCT ID]],MasterData[],3,)</f>
        <v>Category01</v>
      </c>
      <c r="I358" t="str">
        <f>VLOOKUP(InputData[[#This Row],[PRODUCT ID]],MasterData[],4,)</f>
        <v>Kg</v>
      </c>
      <c r="J358" s="7">
        <f>VLOOKUP(InputData[[#This Row],[PRODUCT ID]],MasterData[],5,)</f>
        <v>83</v>
      </c>
      <c r="K358" s="7">
        <f>VLOOKUP(InputData[[#This Row],[PRODUCT ID]],MasterData[],6,)</f>
        <v>94.62</v>
      </c>
      <c r="L358" s="7">
        <f>InputData[[#This Row],[BUYING PRIZE]]*InputData[[#This Row],[QUANTITY]]</f>
        <v>1162</v>
      </c>
      <c r="M358" s="7">
        <f>InputData[[#This Row],[SELLING PRICE]]*InputData[[#This Row],[QUANTITY]]*(1-InputData[[#This Row],[DISCOUNT %]])</f>
        <v>1324.68</v>
      </c>
      <c r="N358">
        <f>DAY(InputData[[#This Row],[DATE]])</f>
        <v>14</v>
      </c>
      <c r="O358" t="str">
        <f>TEXT(InputData[[#This Row],[DATE]],"mmm")</f>
        <v>May</v>
      </c>
      <c r="P358">
        <f>YEAR(InputData[[#This Row],[DATE]])</f>
        <v>2022</v>
      </c>
    </row>
    <row r="359" spans="1:16" x14ac:dyDescent="0.3">
      <c r="A359" s="3">
        <v>44696</v>
      </c>
      <c r="B359" s="4" t="s">
        <v>47</v>
      </c>
      <c r="C359" s="5">
        <v>5</v>
      </c>
      <c r="D359" s="5" t="s">
        <v>106</v>
      </c>
      <c r="E359" s="5" t="s">
        <v>106</v>
      </c>
      <c r="F359" s="6">
        <v>0</v>
      </c>
      <c r="G359" t="str">
        <f>VLOOKUP(InputData[[#This Row],[PRODUCT ID]],MasterData[],2,)</f>
        <v>Product20</v>
      </c>
      <c r="H359" t="str">
        <f>VLOOKUP(InputData[[#This Row],[PRODUCT ID]],MasterData[],3,)</f>
        <v>Category03</v>
      </c>
      <c r="I359" t="str">
        <f>VLOOKUP(InputData[[#This Row],[PRODUCT ID]],MasterData[],4,)</f>
        <v>Lt</v>
      </c>
      <c r="J359" s="7">
        <f>VLOOKUP(InputData[[#This Row],[PRODUCT ID]],MasterData[],5,)</f>
        <v>61</v>
      </c>
      <c r="K359" s="7">
        <f>VLOOKUP(InputData[[#This Row],[PRODUCT ID]],MasterData[],6,)</f>
        <v>76.25</v>
      </c>
      <c r="L359" s="7">
        <f>InputData[[#This Row],[BUYING PRIZE]]*InputData[[#This Row],[QUANTITY]]</f>
        <v>305</v>
      </c>
      <c r="M359" s="7">
        <f>InputData[[#This Row],[SELLING PRICE]]*InputData[[#This Row],[QUANTITY]]*(1-InputData[[#This Row],[DISCOUNT %]])</f>
        <v>381.25</v>
      </c>
      <c r="N359">
        <f>DAY(InputData[[#This Row],[DATE]])</f>
        <v>15</v>
      </c>
      <c r="O359" t="str">
        <f>TEXT(InputData[[#This Row],[DATE]],"mmm")</f>
        <v>May</v>
      </c>
      <c r="P359">
        <f>YEAR(InputData[[#This Row],[DATE]])</f>
        <v>2022</v>
      </c>
    </row>
    <row r="360" spans="1:16" x14ac:dyDescent="0.3">
      <c r="A360" s="3">
        <v>44697</v>
      </c>
      <c r="B360" s="4" t="s">
        <v>26</v>
      </c>
      <c r="C360" s="5">
        <v>13</v>
      </c>
      <c r="D360" s="5" t="s">
        <v>108</v>
      </c>
      <c r="E360" s="5" t="s">
        <v>107</v>
      </c>
      <c r="F360" s="6">
        <v>0</v>
      </c>
      <c r="G360" t="str">
        <f>VLOOKUP(InputData[[#This Row],[PRODUCT ID]],MasterData[],2,)</f>
        <v>Product10</v>
      </c>
      <c r="H360" t="str">
        <f>VLOOKUP(InputData[[#This Row],[PRODUCT ID]],MasterData[],3,)</f>
        <v>Category02</v>
      </c>
      <c r="I360" t="str">
        <f>VLOOKUP(InputData[[#This Row],[PRODUCT ID]],MasterData[],4,)</f>
        <v>Ft</v>
      </c>
      <c r="J360" s="7">
        <f>VLOOKUP(InputData[[#This Row],[PRODUCT ID]],MasterData[],5,)</f>
        <v>148</v>
      </c>
      <c r="K360" s="7">
        <f>VLOOKUP(InputData[[#This Row],[PRODUCT ID]],MasterData[],6,)</f>
        <v>164.28</v>
      </c>
      <c r="L360" s="7">
        <f>InputData[[#This Row],[BUYING PRIZE]]*InputData[[#This Row],[QUANTITY]]</f>
        <v>1924</v>
      </c>
      <c r="M360" s="7">
        <f>InputData[[#This Row],[SELLING PRICE]]*InputData[[#This Row],[QUANTITY]]*(1-InputData[[#This Row],[DISCOUNT %]])</f>
        <v>2135.64</v>
      </c>
      <c r="N360">
        <f>DAY(InputData[[#This Row],[DATE]])</f>
        <v>16</v>
      </c>
      <c r="O360" t="str">
        <f>TEXT(InputData[[#This Row],[DATE]],"mmm")</f>
        <v>May</v>
      </c>
      <c r="P360">
        <f>YEAR(InputData[[#This Row],[DATE]])</f>
        <v>2022</v>
      </c>
    </row>
    <row r="361" spans="1:16" x14ac:dyDescent="0.3">
      <c r="A361" s="3">
        <v>44697</v>
      </c>
      <c r="B361" s="4" t="s">
        <v>71</v>
      </c>
      <c r="C361" s="5">
        <v>13</v>
      </c>
      <c r="D361" s="5" t="s">
        <v>106</v>
      </c>
      <c r="E361" s="5" t="s">
        <v>106</v>
      </c>
      <c r="F361" s="6">
        <v>0</v>
      </c>
      <c r="G361" t="str">
        <f>VLOOKUP(InputData[[#This Row],[PRODUCT ID]],MasterData[],2,)</f>
        <v>Product31</v>
      </c>
      <c r="H361" t="str">
        <f>VLOOKUP(InputData[[#This Row],[PRODUCT ID]],MasterData[],3,)</f>
        <v>Category04</v>
      </c>
      <c r="I361" t="str">
        <f>VLOOKUP(InputData[[#This Row],[PRODUCT ID]],MasterData[],4,)</f>
        <v>Kg</v>
      </c>
      <c r="J361" s="7">
        <f>VLOOKUP(InputData[[#This Row],[PRODUCT ID]],MasterData[],5,)</f>
        <v>93</v>
      </c>
      <c r="K361" s="7">
        <f>VLOOKUP(InputData[[#This Row],[PRODUCT ID]],MasterData[],6,)</f>
        <v>104.16</v>
      </c>
      <c r="L361" s="7">
        <f>InputData[[#This Row],[BUYING PRIZE]]*InputData[[#This Row],[QUANTITY]]</f>
        <v>1209</v>
      </c>
      <c r="M361" s="7">
        <f>InputData[[#This Row],[SELLING PRICE]]*InputData[[#This Row],[QUANTITY]]*(1-InputData[[#This Row],[DISCOUNT %]])</f>
        <v>1354.08</v>
      </c>
      <c r="N361">
        <f>DAY(InputData[[#This Row],[DATE]])</f>
        <v>16</v>
      </c>
      <c r="O361" t="str">
        <f>TEXT(InputData[[#This Row],[DATE]],"mmm")</f>
        <v>May</v>
      </c>
      <c r="P361">
        <f>YEAR(InputData[[#This Row],[DATE]])</f>
        <v>2022</v>
      </c>
    </row>
    <row r="362" spans="1:16" x14ac:dyDescent="0.3">
      <c r="A362" s="3">
        <v>44698</v>
      </c>
      <c r="B362" s="4" t="s">
        <v>63</v>
      </c>
      <c r="C362" s="5">
        <v>8</v>
      </c>
      <c r="D362" s="5" t="s">
        <v>108</v>
      </c>
      <c r="E362" s="5" t="s">
        <v>107</v>
      </c>
      <c r="F362" s="6">
        <v>0</v>
      </c>
      <c r="G362" t="str">
        <f>VLOOKUP(InputData[[#This Row],[PRODUCT ID]],MasterData[],2,)</f>
        <v>Product27</v>
      </c>
      <c r="H362" t="str">
        <f>VLOOKUP(InputData[[#This Row],[PRODUCT ID]],MasterData[],3,)</f>
        <v>Category04</v>
      </c>
      <c r="I362" t="str">
        <f>VLOOKUP(InputData[[#This Row],[PRODUCT ID]],MasterData[],4,)</f>
        <v>Lt</v>
      </c>
      <c r="J362" s="7">
        <f>VLOOKUP(InputData[[#This Row],[PRODUCT ID]],MasterData[],5,)</f>
        <v>48</v>
      </c>
      <c r="K362" s="7">
        <f>VLOOKUP(InputData[[#This Row],[PRODUCT ID]],MasterData[],6,)</f>
        <v>57.120000000000005</v>
      </c>
      <c r="L362" s="7">
        <f>InputData[[#This Row],[BUYING PRIZE]]*InputData[[#This Row],[QUANTITY]]</f>
        <v>384</v>
      </c>
      <c r="M362" s="7">
        <f>InputData[[#This Row],[SELLING PRICE]]*InputData[[#This Row],[QUANTITY]]*(1-InputData[[#This Row],[DISCOUNT %]])</f>
        <v>456.96000000000004</v>
      </c>
      <c r="N362">
        <f>DAY(InputData[[#This Row],[DATE]])</f>
        <v>17</v>
      </c>
      <c r="O362" t="str">
        <f>TEXT(InputData[[#This Row],[DATE]],"mmm")</f>
        <v>May</v>
      </c>
      <c r="P362">
        <f>YEAR(InputData[[#This Row],[DATE]])</f>
        <v>2022</v>
      </c>
    </row>
    <row r="363" spans="1:16" x14ac:dyDescent="0.3">
      <c r="A363" s="3">
        <v>44699</v>
      </c>
      <c r="B363" s="4" t="s">
        <v>63</v>
      </c>
      <c r="C363" s="5">
        <v>4</v>
      </c>
      <c r="D363" s="5" t="s">
        <v>105</v>
      </c>
      <c r="E363" s="5" t="s">
        <v>106</v>
      </c>
      <c r="F363" s="6">
        <v>0</v>
      </c>
      <c r="G363" t="str">
        <f>VLOOKUP(InputData[[#This Row],[PRODUCT ID]],MasterData[],2,)</f>
        <v>Product27</v>
      </c>
      <c r="H363" t="str">
        <f>VLOOKUP(InputData[[#This Row],[PRODUCT ID]],MasterData[],3,)</f>
        <v>Category04</v>
      </c>
      <c r="I363" t="str">
        <f>VLOOKUP(InputData[[#This Row],[PRODUCT ID]],MasterData[],4,)</f>
        <v>Lt</v>
      </c>
      <c r="J363" s="7">
        <f>VLOOKUP(InputData[[#This Row],[PRODUCT ID]],MasterData[],5,)</f>
        <v>48</v>
      </c>
      <c r="K363" s="7">
        <f>VLOOKUP(InputData[[#This Row],[PRODUCT ID]],MasterData[],6,)</f>
        <v>57.120000000000005</v>
      </c>
      <c r="L363" s="7">
        <f>InputData[[#This Row],[BUYING PRIZE]]*InputData[[#This Row],[QUANTITY]]</f>
        <v>192</v>
      </c>
      <c r="M363" s="7">
        <f>InputData[[#This Row],[SELLING PRICE]]*InputData[[#This Row],[QUANTITY]]*(1-InputData[[#This Row],[DISCOUNT %]])</f>
        <v>228.48000000000002</v>
      </c>
      <c r="N363">
        <f>DAY(InputData[[#This Row],[DATE]])</f>
        <v>18</v>
      </c>
      <c r="O363" t="str">
        <f>TEXT(InputData[[#This Row],[DATE]],"mmm")</f>
        <v>May</v>
      </c>
      <c r="P363">
        <f>YEAR(InputData[[#This Row],[DATE]])</f>
        <v>2022</v>
      </c>
    </row>
    <row r="364" spans="1:16" x14ac:dyDescent="0.3">
      <c r="A364" s="3">
        <v>44699</v>
      </c>
      <c r="B364" s="4" t="s">
        <v>86</v>
      </c>
      <c r="C364" s="5">
        <v>8</v>
      </c>
      <c r="D364" s="5" t="s">
        <v>105</v>
      </c>
      <c r="E364" s="5" t="s">
        <v>106</v>
      </c>
      <c r="F364" s="6">
        <v>0</v>
      </c>
      <c r="G364" t="str">
        <f>VLOOKUP(InputData[[#This Row],[PRODUCT ID]],MasterData[],2,)</f>
        <v>Product38</v>
      </c>
      <c r="H364" t="str">
        <f>VLOOKUP(InputData[[#This Row],[PRODUCT ID]],MasterData[],3,)</f>
        <v>Category05</v>
      </c>
      <c r="I364" t="str">
        <f>VLOOKUP(InputData[[#This Row],[PRODUCT ID]],MasterData[],4,)</f>
        <v>Kg</v>
      </c>
      <c r="J364" s="7">
        <f>VLOOKUP(InputData[[#This Row],[PRODUCT ID]],MasterData[],5,)</f>
        <v>72</v>
      </c>
      <c r="K364" s="7">
        <f>VLOOKUP(InputData[[#This Row],[PRODUCT ID]],MasterData[],6,)</f>
        <v>79.92</v>
      </c>
      <c r="L364" s="7">
        <f>InputData[[#This Row],[BUYING PRIZE]]*InputData[[#This Row],[QUANTITY]]</f>
        <v>576</v>
      </c>
      <c r="M364" s="7">
        <f>InputData[[#This Row],[SELLING PRICE]]*InputData[[#This Row],[QUANTITY]]*(1-InputData[[#This Row],[DISCOUNT %]])</f>
        <v>639.36</v>
      </c>
      <c r="N364">
        <f>DAY(InputData[[#This Row],[DATE]])</f>
        <v>18</v>
      </c>
      <c r="O364" t="str">
        <f>TEXT(InputData[[#This Row],[DATE]],"mmm")</f>
        <v>May</v>
      </c>
      <c r="P364">
        <f>YEAR(InputData[[#This Row],[DATE]])</f>
        <v>2022</v>
      </c>
    </row>
    <row r="365" spans="1:16" x14ac:dyDescent="0.3">
      <c r="A365" s="3">
        <v>44701</v>
      </c>
      <c r="B365" s="4" t="s">
        <v>98</v>
      </c>
      <c r="C365" s="5">
        <v>15</v>
      </c>
      <c r="D365" s="5" t="s">
        <v>106</v>
      </c>
      <c r="E365" s="5" t="s">
        <v>107</v>
      </c>
      <c r="F365" s="6">
        <v>0</v>
      </c>
      <c r="G365" t="str">
        <f>VLOOKUP(InputData[[#This Row],[PRODUCT ID]],MasterData[],2,)</f>
        <v>Product44</v>
      </c>
      <c r="H365" t="str">
        <f>VLOOKUP(InputData[[#This Row],[PRODUCT ID]],MasterData[],3,)</f>
        <v>Category05</v>
      </c>
      <c r="I365" t="str">
        <f>VLOOKUP(InputData[[#This Row],[PRODUCT ID]],MasterData[],4,)</f>
        <v>Kg</v>
      </c>
      <c r="J365" s="7">
        <f>VLOOKUP(InputData[[#This Row],[PRODUCT ID]],MasterData[],5,)</f>
        <v>76</v>
      </c>
      <c r="K365" s="7">
        <f>VLOOKUP(InputData[[#This Row],[PRODUCT ID]],MasterData[],6,)</f>
        <v>82.08</v>
      </c>
      <c r="L365" s="7">
        <f>InputData[[#This Row],[BUYING PRIZE]]*InputData[[#This Row],[QUANTITY]]</f>
        <v>1140</v>
      </c>
      <c r="M365" s="7">
        <f>InputData[[#This Row],[SELLING PRICE]]*InputData[[#This Row],[QUANTITY]]*(1-InputData[[#This Row],[DISCOUNT %]])</f>
        <v>1231.2</v>
      </c>
      <c r="N365">
        <f>DAY(InputData[[#This Row],[DATE]])</f>
        <v>20</v>
      </c>
      <c r="O365" t="str">
        <f>TEXT(InputData[[#This Row],[DATE]],"mmm")</f>
        <v>May</v>
      </c>
      <c r="P365">
        <f>YEAR(InputData[[#This Row],[DATE]])</f>
        <v>2022</v>
      </c>
    </row>
    <row r="366" spans="1:16" x14ac:dyDescent="0.3">
      <c r="A366" s="3">
        <v>44703</v>
      </c>
      <c r="B366" s="4" t="s">
        <v>37</v>
      </c>
      <c r="C366" s="5">
        <v>12</v>
      </c>
      <c r="D366" s="5" t="s">
        <v>108</v>
      </c>
      <c r="E366" s="5" t="s">
        <v>106</v>
      </c>
      <c r="F366" s="6">
        <v>0</v>
      </c>
      <c r="G366" t="str">
        <f>VLOOKUP(InputData[[#This Row],[PRODUCT ID]],MasterData[],2,)</f>
        <v>Product15</v>
      </c>
      <c r="H366" t="str">
        <f>VLOOKUP(InputData[[#This Row],[PRODUCT ID]],MasterData[],3,)</f>
        <v>Category02</v>
      </c>
      <c r="I366" t="str">
        <f>VLOOKUP(InputData[[#This Row],[PRODUCT ID]],MasterData[],4,)</f>
        <v>No.</v>
      </c>
      <c r="J366" s="7">
        <f>VLOOKUP(InputData[[#This Row],[PRODUCT ID]],MasterData[],5,)</f>
        <v>12</v>
      </c>
      <c r="K366" s="7">
        <f>VLOOKUP(InputData[[#This Row],[PRODUCT ID]],MasterData[],6,)</f>
        <v>15.719999999999999</v>
      </c>
      <c r="L366" s="7">
        <f>InputData[[#This Row],[BUYING PRIZE]]*InputData[[#This Row],[QUANTITY]]</f>
        <v>144</v>
      </c>
      <c r="M366" s="7">
        <f>InputData[[#This Row],[SELLING PRICE]]*InputData[[#This Row],[QUANTITY]]*(1-InputData[[#This Row],[DISCOUNT %]])</f>
        <v>188.64</v>
      </c>
      <c r="N366">
        <f>DAY(InputData[[#This Row],[DATE]])</f>
        <v>22</v>
      </c>
      <c r="O366" t="str">
        <f>TEXT(InputData[[#This Row],[DATE]],"mmm")</f>
        <v>May</v>
      </c>
      <c r="P366">
        <f>YEAR(InputData[[#This Row],[DATE]])</f>
        <v>2022</v>
      </c>
    </row>
    <row r="367" spans="1:16" x14ac:dyDescent="0.3">
      <c r="A367" s="3">
        <v>44706</v>
      </c>
      <c r="B367" s="4" t="s">
        <v>10</v>
      </c>
      <c r="C367" s="5">
        <v>7</v>
      </c>
      <c r="D367" s="5" t="s">
        <v>106</v>
      </c>
      <c r="E367" s="5" t="s">
        <v>106</v>
      </c>
      <c r="F367" s="6">
        <v>0</v>
      </c>
      <c r="G367" t="str">
        <f>VLOOKUP(InputData[[#This Row],[PRODUCT ID]],MasterData[],2,)</f>
        <v>Product02</v>
      </c>
      <c r="H367" t="str">
        <f>VLOOKUP(InputData[[#This Row],[PRODUCT ID]],MasterData[],3,)</f>
        <v>Category01</v>
      </c>
      <c r="I367" t="str">
        <f>VLOOKUP(InputData[[#This Row],[PRODUCT ID]],MasterData[],4,)</f>
        <v>Kg</v>
      </c>
      <c r="J367" s="7">
        <f>VLOOKUP(InputData[[#This Row],[PRODUCT ID]],MasterData[],5,)</f>
        <v>105</v>
      </c>
      <c r="K367" s="7">
        <f>VLOOKUP(InputData[[#This Row],[PRODUCT ID]],MasterData[],6,)</f>
        <v>142.80000000000001</v>
      </c>
      <c r="L367" s="7">
        <f>InputData[[#This Row],[BUYING PRIZE]]*InputData[[#This Row],[QUANTITY]]</f>
        <v>735</v>
      </c>
      <c r="M367" s="7">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3">
      <c r="A368" s="3">
        <v>44707</v>
      </c>
      <c r="B368" s="4" t="s">
        <v>65</v>
      </c>
      <c r="C368" s="5">
        <v>2</v>
      </c>
      <c r="D368" s="5" t="s">
        <v>108</v>
      </c>
      <c r="E368" s="5" t="s">
        <v>106</v>
      </c>
      <c r="F368" s="6">
        <v>0</v>
      </c>
      <c r="G368" t="str">
        <f>VLOOKUP(InputData[[#This Row],[PRODUCT ID]],MasterData[],2,)</f>
        <v>Product28</v>
      </c>
      <c r="H368" t="str">
        <f>VLOOKUP(InputData[[#This Row],[PRODUCT ID]],MasterData[],3,)</f>
        <v>Category04</v>
      </c>
      <c r="I368" t="str">
        <f>VLOOKUP(InputData[[#This Row],[PRODUCT ID]],MasterData[],4,)</f>
        <v>No.</v>
      </c>
      <c r="J368" s="7">
        <f>VLOOKUP(InputData[[#This Row],[PRODUCT ID]],MasterData[],5,)</f>
        <v>37</v>
      </c>
      <c r="K368" s="7">
        <f>VLOOKUP(InputData[[#This Row],[PRODUCT ID]],MasterData[],6,)</f>
        <v>41.81</v>
      </c>
      <c r="L368" s="7">
        <f>InputData[[#This Row],[BUYING PRIZE]]*InputData[[#This Row],[QUANTITY]]</f>
        <v>74</v>
      </c>
      <c r="M368" s="7">
        <f>InputData[[#This Row],[SELLING PRICE]]*InputData[[#This Row],[QUANTITY]]*(1-InputData[[#This Row],[DISCOUNT %]])</f>
        <v>83.62</v>
      </c>
      <c r="N368">
        <f>DAY(InputData[[#This Row],[DATE]])</f>
        <v>26</v>
      </c>
      <c r="O368" t="str">
        <f>TEXT(InputData[[#This Row],[DATE]],"mmm")</f>
        <v>May</v>
      </c>
      <c r="P368">
        <f>YEAR(InputData[[#This Row],[DATE]])</f>
        <v>2022</v>
      </c>
    </row>
    <row r="369" spans="1:16" x14ac:dyDescent="0.3">
      <c r="A369" s="3">
        <v>44707</v>
      </c>
      <c r="B369" s="4" t="s">
        <v>63</v>
      </c>
      <c r="C369" s="5">
        <v>2</v>
      </c>
      <c r="D369" s="5" t="s">
        <v>106</v>
      </c>
      <c r="E369" s="5" t="s">
        <v>106</v>
      </c>
      <c r="F369" s="6">
        <v>0</v>
      </c>
      <c r="G369" t="str">
        <f>VLOOKUP(InputData[[#This Row],[PRODUCT ID]],MasterData[],2,)</f>
        <v>Product27</v>
      </c>
      <c r="H369" t="str">
        <f>VLOOKUP(InputData[[#This Row],[PRODUCT ID]],MasterData[],3,)</f>
        <v>Category04</v>
      </c>
      <c r="I369" t="str">
        <f>VLOOKUP(InputData[[#This Row],[PRODUCT ID]],MasterData[],4,)</f>
        <v>Lt</v>
      </c>
      <c r="J369" s="7">
        <f>VLOOKUP(InputData[[#This Row],[PRODUCT ID]],MasterData[],5,)</f>
        <v>48</v>
      </c>
      <c r="K369" s="7">
        <f>VLOOKUP(InputData[[#This Row],[PRODUCT ID]],MasterData[],6,)</f>
        <v>57.120000000000005</v>
      </c>
      <c r="L369" s="7">
        <f>InputData[[#This Row],[BUYING PRIZE]]*InputData[[#This Row],[QUANTITY]]</f>
        <v>96</v>
      </c>
      <c r="M369" s="7">
        <f>InputData[[#This Row],[SELLING PRICE]]*InputData[[#This Row],[QUANTITY]]*(1-InputData[[#This Row],[DISCOUNT %]])</f>
        <v>114.24000000000001</v>
      </c>
      <c r="N369">
        <f>DAY(InputData[[#This Row],[DATE]])</f>
        <v>26</v>
      </c>
      <c r="O369" t="str">
        <f>TEXT(InputData[[#This Row],[DATE]],"mmm")</f>
        <v>May</v>
      </c>
      <c r="P369">
        <f>YEAR(InputData[[#This Row],[DATE]])</f>
        <v>2022</v>
      </c>
    </row>
    <row r="370" spans="1:16" x14ac:dyDescent="0.3">
      <c r="A370" s="3">
        <v>44709</v>
      </c>
      <c r="B370" s="4" t="s">
        <v>92</v>
      </c>
      <c r="C370" s="5">
        <v>10</v>
      </c>
      <c r="D370" s="5" t="s">
        <v>105</v>
      </c>
      <c r="E370" s="5" t="s">
        <v>107</v>
      </c>
      <c r="F370" s="6">
        <v>0</v>
      </c>
      <c r="G370" t="str">
        <f>VLOOKUP(InputData[[#This Row],[PRODUCT ID]],MasterData[],2,)</f>
        <v>Product41</v>
      </c>
      <c r="H370" t="str">
        <f>VLOOKUP(InputData[[#This Row],[PRODUCT ID]],MasterData[],3,)</f>
        <v>Category05</v>
      </c>
      <c r="I370" t="str">
        <f>VLOOKUP(InputData[[#This Row],[PRODUCT ID]],MasterData[],4,)</f>
        <v>Ft</v>
      </c>
      <c r="J370" s="7">
        <f>VLOOKUP(InputData[[#This Row],[PRODUCT ID]],MasterData[],5,)</f>
        <v>138</v>
      </c>
      <c r="K370" s="7">
        <f>VLOOKUP(InputData[[#This Row],[PRODUCT ID]],MasterData[],6,)</f>
        <v>173.88</v>
      </c>
      <c r="L370" s="7">
        <f>InputData[[#This Row],[BUYING PRIZE]]*InputData[[#This Row],[QUANTITY]]</f>
        <v>1380</v>
      </c>
      <c r="M370" s="7">
        <f>InputData[[#This Row],[SELLING PRICE]]*InputData[[#This Row],[QUANTITY]]*(1-InputData[[#This Row],[DISCOUNT %]])</f>
        <v>1738.8</v>
      </c>
      <c r="N370">
        <f>DAY(InputData[[#This Row],[DATE]])</f>
        <v>28</v>
      </c>
      <c r="O370" t="str">
        <f>TEXT(InputData[[#This Row],[DATE]],"mmm")</f>
        <v>May</v>
      </c>
      <c r="P370">
        <f>YEAR(InputData[[#This Row],[DATE]])</f>
        <v>2022</v>
      </c>
    </row>
    <row r="371" spans="1:16" x14ac:dyDescent="0.3">
      <c r="A371" s="3">
        <v>44709</v>
      </c>
      <c r="B371" s="4" t="s">
        <v>22</v>
      </c>
      <c r="C371" s="5">
        <v>5</v>
      </c>
      <c r="D371" s="5" t="s">
        <v>105</v>
      </c>
      <c r="E371" s="5" t="s">
        <v>106</v>
      </c>
      <c r="F371" s="6">
        <v>0</v>
      </c>
      <c r="G371" t="str">
        <f>VLOOKUP(InputData[[#This Row],[PRODUCT ID]],MasterData[],2,)</f>
        <v>Product08</v>
      </c>
      <c r="H371" t="str">
        <f>VLOOKUP(InputData[[#This Row],[PRODUCT ID]],MasterData[],3,)</f>
        <v>Category01</v>
      </c>
      <c r="I371" t="str">
        <f>VLOOKUP(InputData[[#This Row],[PRODUCT ID]],MasterData[],4,)</f>
        <v>Kg</v>
      </c>
      <c r="J371" s="7">
        <f>VLOOKUP(InputData[[#This Row],[PRODUCT ID]],MasterData[],5,)</f>
        <v>83</v>
      </c>
      <c r="K371" s="7">
        <f>VLOOKUP(InputData[[#This Row],[PRODUCT ID]],MasterData[],6,)</f>
        <v>94.62</v>
      </c>
      <c r="L371" s="7">
        <f>InputData[[#This Row],[BUYING PRIZE]]*InputData[[#This Row],[QUANTITY]]</f>
        <v>415</v>
      </c>
      <c r="M371" s="7">
        <f>InputData[[#This Row],[SELLING PRICE]]*InputData[[#This Row],[QUANTITY]]*(1-InputData[[#This Row],[DISCOUNT %]])</f>
        <v>473.1</v>
      </c>
      <c r="N371">
        <f>DAY(InputData[[#This Row],[DATE]])</f>
        <v>28</v>
      </c>
      <c r="O371" t="str">
        <f>TEXT(InputData[[#This Row],[DATE]],"mmm")</f>
        <v>May</v>
      </c>
      <c r="P371">
        <f>YEAR(InputData[[#This Row],[DATE]])</f>
        <v>2022</v>
      </c>
    </row>
    <row r="372" spans="1:16" x14ac:dyDescent="0.3">
      <c r="A372" s="3">
        <v>44709</v>
      </c>
      <c r="B372" s="4" t="s">
        <v>26</v>
      </c>
      <c r="C372" s="5">
        <v>9</v>
      </c>
      <c r="D372" s="5" t="s">
        <v>106</v>
      </c>
      <c r="E372" s="5" t="s">
        <v>107</v>
      </c>
      <c r="F372" s="6">
        <v>0</v>
      </c>
      <c r="G372" t="str">
        <f>VLOOKUP(InputData[[#This Row],[PRODUCT ID]],MasterData[],2,)</f>
        <v>Product10</v>
      </c>
      <c r="H372" t="str">
        <f>VLOOKUP(InputData[[#This Row],[PRODUCT ID]],MasterData[],3,)</f>
        <v>Category02</v>
      </c>
      <c r="I372" t="str">
        <f>VLOOKUP(InputData[[#This Row],[PRODUCT ID]],MasterData[],4,)</f>
        <v>Ft</v>
      </c>
      <c r="J372" s="7">
        <f>VLOOKUP(InputData[[#This Row],[PRODUCT ID]],MasterData[],5,)</f>
        <v>148</v>
      </c>
      <c r="K372" s="7">
        <f>VLOOKUP(InputData[[#This Row],[PRODUCT ID]],MasterData[],6,)</f>
        <v>164.28</v>
      </c>
      <c r="L372" s="7">
        <f>InputData[[#This Row],[BUYING PRIZE]]*InputData[[#This Row],[QUANTITY]]</f>
        <v>1332</v>
      </c>
      <c r="M372" s="7">
        <f>InputData[[#This Row],[SELLING PRICE]]*InputData[[#This Row],[QUANTITY]]*(1-InputData[[#This Row],[DISCOUNT %]])</f>
        <v>1478.52</v>
      </c>
      <c r="N372">
        <f>DAY(InputData[[#This Row],[DATE]])</f>
        <v>28</v>
      </c>
      <c r="O372" t="str">
        <f>TEXT(InputData[[#This Row],[DATE]],"mmm")</f>
        <v>May</v>
      </c>
      <c r="P372">
        <f>YEAR(InputData[[#This Row],[DATE]])</f>
        <v>2022</v>
      </c>
    </row>
    <row r="373" spans="1:16" x14ac:dyDescent="0.3">
      <c r="A373" s="3">
        <v>44709</v>
      </c>
      <c r="B373" s="4" t="s">
        <v>14</v>
      </c>
      <c r="C373" s="5">
        <v>12</v>
      </c>
      <c r="D373" s="5" t="s">
        <v>106</v>
      </c>
      <c r="E373" s="5" t="s">
        <v>106</v>
      </c>
      <c r="F373" s="6">
        <v>0</v>
      </c>
      <c r="G373" t="str">
        <f>VLOOKUP(InputData[[#This Row],[PRODUCT ID]],MasterData[],2,)</f>
        <v>Product04</v>
      </c>
      <c r="H373" t="str">
        <f>VLOOKUP(InputData[[#This Row],[PRODUCT ID]],MasterData[],3,)</f>
        <v>Category01</v>
      </c>
      <c r="I373" t="str">
        <f>VLOOKUP(InputData[[#This Row],[PRODUCT ID]],MasterData[],4,)</f>
        <v>Lt</v>
      </c>
      <c r="J373" s="7">
        <f>VLOOKUP(InputData[[#This Row],[PRODUCT ID]],MasterData[],5,)</f>
        <v>44</v>
      </c>
      <c r="K373" s="7">
        <f>VLOOKUP(InputData[[#This Row],[PRODUCT ID]],MasterData[],6,)</f>
        <v>48.84</v>
      </c>
      <c r="L373" s="7">
        <f>InputData[[#This Row],[BUYING PRIZE]]*InputData[[#This Row],[QUANTITY]]</f>
        <v>528</v>
      </c>
      <c r="M373" s="7">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3">
      <c r="A374" s="3">
        <v>44709</v>
      </c>
      <c r="B374" s="4" t="s">
        <v>47</v>
      </c>
      <c r="C374" s="5">
        <v>14</v>
      </c>
      <c r="D374" s="5" t="s">
        <v>108</v>
      </c>
      <c r="E374" s="5" t="s">
        <v>107</v>
      </c>
      <c r="F374" s="6">
        <v>0</v>
      </c>
      <c r="G374" t="str">
        <f>VLOOKUP(InputData[[#This Row],[PRODUCT ID]],MasterData[],2,)</f>
        <v>Product20</v>
      </c>
      <c r="H374" t="str">
        <f>VLOOKUP(InputData[[#This Row],[PRODUCT ID]],MasterData[],3,)</f>
        <v>Category03</v>
      </c>
      <c r="I374" t="str">
        <f>VLOOKUP(InputData[[#This Row],[PRODUCT ID]],MasterData[],4,)</f>
        <v>Lt</v>
      </c>
      <c r="J374" s="7">
        <f>VLOOKUP(InputData[[#This Row],[PRODUCT ID]],MasterData[],5,)</f>
        <v>61</v>
      </c>
      <c r="K374" s="7">
        <f>VLOOKUP(InputData[[#This Row],[PRODUCT ID]],MasterData[],6,)</f>
        <v>76.25</v>
      </c>
      <c r="L374" s="7">
        <f>InputData[[#This Row],[BUYING PRIZE]]*InputData[[#This Row],[QUANTITY]]</f>
        <v>854</v>
      </c>
      <c r="M374" s="7">
        <f>InputData[[#This Row],[SELLING PRICE]]*InputData[[#This Row],[QUANTITY]]*(1-InputData[[#This Row],[DISCOUNT %]])</f>
        <v>1067.5</v>
      </c>
      <c r="N374">
        <f>DAY(InputData[[#This Row],[DATE]])</f>
        <v>28</v>
      </c>
      <c r="O374" t="str">
        <f>TEXT(InputData[[#This Row],[DATE]],"mmm")</f>
        <v>May</v>
      </c>
      <c r="P374">
        <f>YEAR(InputData[[#This Row],[DATE]])</f>
        <v>2022</v>
      </c>
    </row>
    <row r="375" spans="1:16" x14ac:dyDescent="0.3">
      <c r="A375" s="3">
        <v>44711</v>
      </c>
      <c r="B375" s="4" t="s">
        <v>98</v>
      </c>
      <c r="C375" s="5">
        <v>9</v>
      </c>
      <c r="D375" s="5" t="s">
        <v>108</v>
      </c>
      <c r="E375" s="5" t="s">
        <v>106</v>
      </c>
      <c r="F375" s="6">
        <v>0</v>
      </c>
      <c r="G375" t="str">
        <f>VLOOKUP(InputData[[#This Row],[PRODUCT ID]],MasterData[],2,)</f>
        <v>Product44</v>
      </c>
      <c r="H375" t="str">
        <f>VLOOKUP(InputData[[#This Row],[PRODUCT ID]],MasterData[],3,)</f>
        <v>Category05</v>
      </c>
      <c r="I375" t="str">
        <f>VLOOKUP(InputData[[#This Row],[PRODUCT ID]],MasterData[],4,)</f>
        <v>Kg</v>
      </c>
      <c r="J375" s="7">
        <f>VLOOKUP(InputData[[#This Row],[PRODUCT ID]],MasterData[],5,)</f>
        <v>76</v>
      </c>
      <c r="K375" s="7">
        <f>VLOOKUP(InputData[[#This Row],[PRODUCT ID]],MasterData[],6,)</f>
        <v>82.08</v>
      </c>
      <c r="L375" s="7">
        <f>InputData[[#This Row],[BUYING PRIZE]]*InputData[[#This Row],[QUANTITY]]</f>
        <v>684</v>
      </c>
      <c r="M375" s="7">
        <f>InputData[[#This Row],[SELLING PRICE]]*InputData[[#This Row],[QUANTITY]]*(1-InputData[[#This Row],[DISCOUNT %]])</f>
        <v>738.72</v>
      </c>
      <c r="N375">
        <f>DAY(InputData[[#This Row],[DATE]])</f>
        <v>30</v>
      </c>
      <c r="O375" t="str">
        <f>TEXT(InputData[[#This Row],[DATE]],"mmm")</f>
        <v>May</v>
      </c>
      <c r="P375">
        <f>YEAR(InputData[[#This Row],[DATE]])</f>
        <v>2022</v>
      </c>
    </row>
    <row r="376" spans="1:16" x14ac:dyDescent="0.3">
      <c r="A376" s="3">
        <v>44711</v>
      </c>
      <c r="B376" s="4" t="s">
        <v>16</v>
      </c>
      <c r="C376" s="5">
        <v>4</v>
      </c>
      <c r="D376" s="5" t="s">
        <v>105</v>
      </c>
      <c r="E376" s="5" t="s">
        <v>107</v>
      </c>
      <c r="F376" s="6">
        <v>0</v>
      </c>
      <c r="G376" t="str">
        <f>VLOOKUP(InputData[[#This Row],[PRODUCT ID]],MasterData[],2,)</f>
        <v>Product05</v>
      </c>
      <c r="H376" t="str">
        <f>VLOOKUP(InputData[[#This Row],[PRODUCT ID]],MasterData[],3,)</f>
        <v>Category01</v>
      </c>
      <c r="I376" t="str">
        <f>VLOOKUP(InputData[[#This Row],[PRODUCT ID]],MasterData[],4,)</f>
        <v>Ft</v>
      </c>
      <c r="J376" s="7">
        <f>VLOOKUP(InputData[[#This Row],[PRODUCT ID]],MasterData[],5,)</f>
        <v>133</v>
      </c>
      <c r="K376" s="7">
        <f>VLOOKUP(InputData[[#This Row],[PRODUCT ID]],MasterData[],6,)</f>
        <v>155.61000000000001</v>
      </c>
      <c r="L376" s="7">
        <f>InputData[[#This Row],[BUYING PRIZE]]*InputData[[#This Row],[QUANTITY]]</f>
        <v>532</v>
      </c>
      <c r="M376" s="7">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3">
      <c r="A377" s="3">
        <v>44711</v>
      </c>
      <c r="B377" s="4" t="s">
        <v>75</v>
      </c>
      <c r="C377" s="5">
        <v>3</v>
      </c>
      <c r="D377" s="5" t="s">
        <v>106</v>
      </c>
      <c r="E377" s="5" t="s">
        <v>107</v>
      </c>
      <c r="F377" s="6">
        <v>0</v>
      </c>
      <c r="G377" t="str">
        <f>VLOOKUP(InputData[[#This Row],[PRODUCT ID]],MasterData[],2,)</f>
        <v>Product33</v>
      </c>
      <c r="H377" t="str">
        <f>VLOOKUP(InputData[[#This Row],[PRODUCT ID]],MasterData[],3,)</f>
        <v>Category04</v>
      </c>
      <c r="I377" t="str">
        <f>VLOOKUP(InputData[[#This Row],[PRODUCT ID]],MasterData[],4,)</f>
        <v>Kg</v>
      </c>
      <c r="J377" s="7">
        <f>VLOOKUP(InputData[[#This Row],[PRODUCT ID]],MasterData[],5,)</f>
        <v>95</v>
      </c>
      <c r="K377" s="7">
        <f>VLOOKUP(InputData[[#This Row],[PRODUCT ID]],MasterData[],6,)</f>
        <v>119.7</v>
      </c>
      <c r="L377" s="7">
        <f>InputData[[#This Row],[BUYING PRIZE]]*InputData[[#This Row],[QUANTITY]]</f>
        <v>285</v>
      </c>
      <c r="M377" s="7">
        <f>InputData[[#This Row],[SELLING PRICE]]*InputData[[#This Row],[QUANTITY]]*(1-InputData[[#This Row],[DISCOUNT %]])</f>
        <v>359.1</v>
      </c>
      <c r="N377">
        <f>DAY(InputData[[#This Row],[DATE]])</f>
        <v>30</v>
      </c>
      <c r="O377" t="str">
        <f>TEXT(InputData[[#This Row],[DATE]],"mmm")</f>
        <v>May</v>
      </c>
      <c r="P377">
        <f>YEAR(InputData[[#This Row],[DATE]])</f>
        <v>2022</v>
      </c>
    </row>
    <row r="378" spans="1:16" x14ac:dyDescent="0.3">
      <c r="A378" s="3">
        <v>44715</v>
      </c>
      <c r="B378" s="4" t="s">
        <v>22</v>
      </c>
      <c r="C378" s="5">
        <v>14</v>
      </c>
      <c r="D378" s="5" t="s">
        <v>106</v>
      </c>
      <c r="E378" s="5" t="s">
        <v>106</v>
      </c>
      <c r="F378" s="6">
        <v>0</v>
      </c>
      <c r="G378" t="str">
        <f>VLOOKUP(InputData[[#This Row],[PRODUCT ID]],MasterData[],2,)</f>
        <v>Product08</v>
      </c>
      <c r="H378" t="str">
        <f>VLOOKUP(InputData[[#This Row],[PRODUCT ID]],MasterData[],3,)</f>
        <v>Category01</v>
      </c>
      <c r="I378" t="str">
        <f>VLOOKUP(InputData[[#This Row],[PRODUCT ID]],MasterData[],4,)</f>
        <v>Kg</v>
      </c>
      <c r="J378" s="7">
        <f>VLOOKUP(InputData[[#This Row],[PRODUCT ID]],MasterData[],5,)</f>
        <v>83</v>
      </c>
      <c r="K378" s="7">
        <f>VLOOKUP(InputData[[#This Row],[PRODUCT ID]],MasterData[],6,)</f>
        <v>94.62</v>
      </c>
      <c r="L378" s="7">
        <f>InputData[[#This Row],[BUYING PRIZE]]*InputData[[#This Row],[QUANTITY]]</f>
        <v>1162</v>
      </c>
      <c r="M378" s="7">
        <f>InputData[[#This Row],[SELLING PRICE]]*InputData[[#This Row],[QUANTITY]]*(1-InputData[[#This Row],[DISCOUNT %]])</f>
        <v>1324.68</v>
      </c>
      <c r="N378">
        <f>DAY(InputData[[#This Row],[DATE]])</f>
        <v>3</v>
      </c>
      <c r="O378" t="str">
        <f>TEXT(InputData[[#This Row],[DATE]],"mmm")</f>
        <v>Jun</v>
      </c>
      <c r="P378">
        <f>YEAR(InputData[[#This Row],[DATE]])</f>
        <v>2022</v>
      </c>
    </row>
    <row r="379" spans="1:16" x14ac:dyDescent="0.3">
      <c r="A379" s="3">
        <v>44722</v>
      </c>
      <c r="B379" s="4" t="s">
        <v>65</v>
      </c>
      <c r="C379" s="5">
        <v>8</v>
      </c>
      <c r="D379" s="5" t="s">
        <v>105</v>
      </c>
      <c r="E379" s="5" t="s">
        <v>106</v>
      </c>
      <c r="F379" s="6">
        <v>0</v>
      </c>
      <c r="G379" t="str">
        <f>VLOOKUP(InputData[[#This Row],[PRODUCT ID]],MasterData[],2,)</f>
        <v>Product28</v>
      </c>
      <c r="H379" t="str">
        <f>VLOOKUP(InputData[[#This Row],[PRODUCT ID]],MasterData[],3,)</f>
        <v>Category04</v>
      </c>
      <c r="I379" t="str">
        <f>VLOOKUP(InputData[[#This Row],[PRODUCT ID]],MasterData[],4,)</f>
        <v>No.</v>
      </c>
      <c r="J379" s="7">
        <f>VLOOKUP(InputData[[#This Row],[PRODUCT ID]],MasterData[],5,)</f>
        <v>37</v>
      </c>
      <c r="K379" s="7">
        <f>VLOOKUP(InputData[[#This Row],[PRODUCT ID]],MasterData[],6,)</f>
        <v>41.81</v>
      </c>
      <c r="L379" s="7">
        <f>InputData[[#This Row],[BUYING PRIZE]]*InputData[[#This Row],[QUANTITY]]</f>
        <v>296</v>
      </c>
      <c r="M379" s="7">
        <f>InputData[[#This Row],[SELLING PRICE]]*InputData[[#This Row],[QUANTITY]]*(1-InputData[[#This Row],[DISCOUNT %]])</f>
        <v>334.48</v>
      </c>
      <c r="N379">
        <f>DAY(InputData[[#This Row],[DATE]])</f>
        <v>10</v>
      </c>
      <c r="O379" t="str">
        <f>TEXT(InputData[[#This Row],[DATE]],"mmm")</f>
        <v>Jun</v>
      </c>
      <c r="P379">
        <f>YEAR(InputData[[#This Row],[DATE]])</f>
        <v>2022</v>
      </c>
    </row>
    <row r="380" spans="1:16" x14ac:dyDescent="0.3">
      <c r="A380" s="3">
        <v>44723</v>
      </c>
      <c r="B380" s="4" t="s">
        <v>88</v>
      </c>
      <c r="C380" s="5">
        <v>13</v>
      </c>
      <c r="D380" s="5" t="s">
        <v>106</v>
      </c>
      <c r="E380" s="5" t="s">
        <v>107</v>
      </c>
      <c r="F380" s="6">
        <v>0</v>
      </c>
      <c r="G380" t="str">
        <f>VLOOKUP(InputData[[#This Row],[PRODUCT ID]],MasterData[],2,)</f>
        <v>Product39</v>
      </c>
      <c r="H380" t="str">
        <f>VLOOKUP(InputData[[#This Row],[PRODUCT ID]],MasterData[],3,)</f>
        <v>Category05</v>
      </c>
      <c r="I380" t="str">
        <f>VLOOKUP(InputData[[#This Row],[PRODUCT ID]],MasterData[],4,)</f>
        <v>No.</v>
      </c>
      <c r="J380" s="7">
        <f>VLOOKUP(InputData[[#This Row],[PRODUCT ID]],MasterData[],5,)</f>
        <v>37</v>
      </c>
      <c r="K380" s="7">
        <f>VLOOKUP(InputData[[#This Row],[PRODUCT ID]],MasterData[],6,)</f>
        <v>42.55</v>
      </c>
      <c r="L380" s="7">
        <f>InputData[[#This Row],[BUYING PRIZE]]*InputData[[#This Row],[QUANTITY]]</f>
        <v>481</v>
      </c>
      <c r="M380" s="7">
        <f>InputData[[#This Row],[SELLING PRICE]]*InputData[[#This Row],[QUANTITY]]*(1-InputData[[#This Row],[DISCOUNT %]])</f>
        <v>553.15</v>
      </c>
      <c r="N380">
        <f>DAY(InputData[[#This Row],[DATE]])</f>
        <v>11</v>
      </c>
      <c r="O380" t="str">
        <f>TEXT(InputData[[#This Row],[DATE]],"mmm")</f>
        <v>Jun</v>
      </c>
      <c r="P380">
        <f>YEAR(InputData[[#This Row],[DATE]])</f>
        <v>2022</v>
      </c>
    </row>
    <row r="381" spans="1:16" x14ac:dyDescent="0.3">
      <c r="A381" s="3">
        <v>44723</v>
      </c>
      <c r="B381" s="4" t="s">
        <v>50</v>
      </c>
      <c r="C381" s="5">
        <v>6</v>
      </c>
      <c r="D381" s="5" t="s">
        <v>108</v>
      </c>
      <c r="E381" s="5" t="s">
        <v>106</v>
      </c>
      <c r="F381" s="6">
        <v>0</v>
      </c>
      <c r="G381" t="str">
        <f>VLOOKUP(InputData[[#This Row],[PRODUCT ID]],MasterData[],2,)</f>
        <v>Product21</v>
      </c>
      <c r="H381" t="str">
        <f>VLOOKUP(InputData[[#This Row],[PRODUCT ID]],MasterData[],3,)</f>
        <v>Category03</v>
      </c>
      <c r="I381" t="str">
        <f>VLOOKUP(InputData[[#This Row],[PRODUCT ID]],MasterData[],4,)</f>
        <v>Ft</v>
      </c>
      <c r="J381" s="7">
        <f>VLOOKUP(InputData[[#This Row],[PRODUCT ID]],MasterData[],5,)</f>
        <v>126</v>
      </c>
      <c r="K381" s="7">
        <f>VLOOKUP(InputData[[#This Row],[PRODUCT ID]],MasterData[],6,)</f>
        <v>162.54</v>
      </c>
      <c r="L381" s="7">
        <f>InputData[[#This Row],[BUYING PRIZE]]*InputData[[#This Row],[QUANTITY]]</f>
        <v>756</v>
      </c>
      <c r="M381" s="7">
        <f>InputData[[#This Row],[SELLING PRICE]]*InputData[[#This Row],[QUANTITY]]*(1-InputData[[#This Row],[DISCOUNT %]])</f>
        <v>975.24</v>
      </c>
      <c r="N381">
        <f>DAY(InputData[[#This Row],[DATE]])</f>
        <v>11</v>
      </c>
      <c r="O381" t="str">
        <f>TEXT(InputData[[#This Row],[DATE]],"mmm")</f>
        <v>Jun</v>
      </c>
      <c r="P381">
        <f>YEAR(InputData[[#This Row],[DATE]])</f>
        <v>2022</v>
      </c>
    </row>
    <row r="382" spans="1:16" x14ac:dyDescent="0.3">
      <c r="A382" s="3">
        <v>44725</v>
      </c>
      <c r="B382" s="4" t="s">
        <v>60</v>
      </c>
      <c r="C382" s="5">
        <v>6</v>
      </c>
      <c r="D382" s="5" t="s">
        <v>108</v>
      </c>
      <c r="E382" s="5" t="s">
        <v>107</v>
      </c>
      <c r="F382" s="6">
        <v>0</v>
      </c>
      <c r="G382" t="str">
        <f>VLOOKUP(InputData[[#This Row],[PRODUCT ID]],MasterData[],2,)</f>
        <v>Product26</v>
      </c>
      <c r="H382" t="str">
        <f>VLOOKUP(InputData[[#This Row],[PRODUCT ID]],MasterData[],3,)</f>
        <v>Category04</v>
      </c>
      <c r="I382" t="str">
        <f>VLOOKUP(InputData[[#This Row],[PRODUCT ID]],MasterData[],4,)</f>
        <v>No.</v>
      </c>
      <c r="J382" s="7">
        <f>VLOOKUP(InputData[[#This Row],[PRODUCT ID]],MasterData[],5,)</f>
        <v>18</v>
      </c>
      <c r="K382" s="7">
        <f>VLOOKUP(InputData[[#This Row],[PRODUCT ID]],MasterData[],6,)</f>
        <v>24.66</v>
      </c>
      <c r="L382" s="7">
        <f>InputData[[#This Row],[BUYING PRIZE]]*InputData[[#This Row],[QUANTITY]]</f>
        <v>108</v>
      </c>
      <c r="M382" s="7">
        <f>InputData[[#This Row],[SELLING PRICE]]*InputData[[#This Row],[QUANTITY]]*(1-InputData[[#This Row],[DISCOUNT %]])</f>
        <v>147.96</v>
      </c>
      <c r="N382">
        <f>DAY(InputData[[#This Row],[DATE]])</f>
        <v>13</v>
      </c>
      <c r="O382" t="str">
        <f>TEXT(InputData[[#This Row],[DATE]],"mmm")</f>
        <v>Jun</v>
      </c>
      <c r="P382">
        <f>YEAR(InputData[[#This Row],[DATE]])</f>
        <v>2022</v>
      </c>
    </row>
    <row r="383" spans="1:16" x14ac:dyDescent="0.3">
      <c r="A383" s="3">
        <v>44727</v>
      </c>
      <c r="B383" s="4" t="s">
        <v>94</v>
      </c>
      <c r="C383" s="5">
        <v>15</v>
      </c>
      <c r="D383" s="5" t="s">
        <v>105</v>
      </c>
      <c r="E383" s="5" t="s">
        <v>106</v>
      </c>
      <c r="F383" s="6">
        <v>0</v>
      </c>
      <c r="G383" t="str">
        <f>VLOOKUP(InputData[[#This Row],[PRODUCT ID]],MasterData[],2,)</f>
        <v>Product42</v>
      </c>
      <c r="H383" t="str">
        <f>VLOOKUP(InputData[[#This Row],[PRODUCT ID]],MasterData[],3,)</f>
        <v>Category05</v>
      </c>
      <c r="I383" t="str">
        <f>VLOOKUP(InputData[[#This Row],[PRODUCT ID]],MasterData[],4,)</f>
        <v>Ft</v>
      </c>
      <c r="J383" s="7">
        <f>VLOOKUP(InputData[[#This Row],[PRODUCT ID]],MasterData[],5,)</f>
        <v>120</v>
      </c>
      <c r="K383" s="7">
        <f>VLOOKUP(InputData[[#This Row],[PRODUCT ID]],MasterData[],6,)</f>
        <v>162</v>
      </c>
      <c r="L383" s="7">
        <f>InputData[[#This Row],[BUYING PRIZE]]*InputData[[#This Row],[QUANTITY]]</f>
        <v>1800</v>
      </c>
      <c r="M383" s="7">
        <f>InputData[[#This Row],[SELLING PRICE]]*InputData[[#This Row],[QUANTITY]]*(1-InputData[[#This Row],[DISCOUNT %]])</f>
        <v>2430</v>
      </c>
      <c r="N383">
        <f>DAY(InputData[[#This Row],[DATE]])</f>
        <v>15</v>
      </c>
      <c r="O383" t="str">
        <f>TEXT(InputData[[#This Row],[DATE]],"mmm")</f>
        <v>Jun</v>
      </c>
      <c r="P383">
        <f>YEAR(InputData[[#This Row],[DATE]])</f>
        <v>2022</v>
      </c>
    </row>
    <row r="384" spans="1:16" x14ac:dyDescent="0.3">
      <c r="A384" s="3">
        <v>44728</v>
      </c>
      <c r="B384" s="4" t="s">
        <v>67</v>
      </c>
      <c r="C384" s="5">
        <v>15</v>
      </c>
      <c r="D384" s="5" t="s">
        <v>106</v>
      </c>
      <c r="E384" s="5" t="s">
        <v>107</v>
      </c>
      <c r="F384" s="6">
        <v>0</v>
      </c>
      <c r="G384" t="str">
        <f>VLOOKUP(InputData[[#This Row],[PRODUCT ID]],MasterData[],2,)</f>
        <v>Product29</v>
      </c>
      <c r="H384" t="str">
        <f>VLOOKUP(InputData[[#This Row],[PRODUCT ID]],MasterData[],3,)</f>
        <v>Category04</v>
      </c>
      <c r="I384" t="str">
        <f>VLOOKUP(InputData[[#This Row],[PRODUCT ID]],MasterData[],4,)</f>
        <v>Lt</v>
      </c>
      <c r="J384" s="7">
        <f>VLOOKUP(InputData[[#This Row],[PRODUCT ID]],MasterData[],5,)</f>
        <v>47</v>
      </c>
      <c r="K384" s="7">
        <f>VLOOKUP(InputData[[#This Row],[PRODUCT ID]],MasterData[],6,)</f>
        <v>53.11</v>
      </c>
      <c r="L384" s="7">
        <f>InputData[[#This Row],[BUYING PRIZE]]*InputData[[#This Row],[QUANTITY]]</f>
        <v>705</v>
      </c>
      <c r="M384" s="7">
        <f>InputData[[#This Row],[SELLING PRICE]]*InputData[[#This Row],[QUANTITY]]*(1-InputData[[#This Row],[DISCOUNT %]])</f>
        <v>796.65</v>
      </c>
      <c r="N384">
        <f>DAY(InputData[[#This Row],[DATE]])</f>
        <v>16</v>
      </c>
      <c r="O384" t="str">
        <f>TEXT(InputData[[#This Row],[DATE]],"mmm")</f>
        <v>Jun</v>
      </c>
      <c r="P384">
        <f>YEAR(InputData[[#This Row],[DATE]])</f>
        <v>2022</v>
      </c>
    </row>
    <row r="385" spans="1:16" x14ac:dyDescent="0.3">
      <c r="A385" s="3">
        <v>44731</v>
      </c>
      <c r="B385" s="4" t="s">
        <v>10</v>
      </c>
      <c r="C385" s="5">
        <v>8</v>
      </c>
      <c r="D385" s="5" t="s">
        <v>108</v>
      </c>
      <c r="E385" s="5" t="s">
        <v>107</v>
      </c>
      <c r="F385" s="6">
        <v>0</v>
      </c>
      <c r="G385" t="str">
        <f>VLOOKUP(InputData[[#This Row],[PRODUCT ID]],MasterData[],2,)</f>
        <v>Product02</v>
      </c>
      <c r="H385" t="str">
        <f>VLOOKUP(InputData[[#This Row],[PRODUCT ID]],MasterData[],3,)</f>
        <v>Category01</v>
      </c>
      <c r="I385" t="str">
        <f>VLOOKUP(InputData[[#This Row],[PRODUCT ID]],MasterData[],4,)</f>
        <v>Kg</v>
      </c>
      <c r="J385" s="7">
        <f>VLOOKUP(InputData[[#This Row],[PRODUCT ID]],MasterData[],5,)</f>
        <v>105</v>
      </c>
      <c r="K385" s="7">
        <f>VLOOKUP(InputData[[#This Row],[PRODUCT ID]],MasterData[],6,)</f>
        <v>142.80000000000001</v>
      </c>
      <c r="L385" s="7">
        <f>InputData[[#This Row],[BUYING PRIZE]]*InputData[[#This Row],[QUANTITY]]</f>
        <v>840</v>
      </c>
      <c r="M385" s="7">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3">
      <c r="A386" s="3">
        <v>44733</v>
      </c>
      <c r="B386" s="4" t="s">
        <v>41</v>
      </c>
      <c r="C386" s="5">
        <v>14</v>
      </c>
      <c r="D386" s="5" t="s">
        <v>108</v>
      </c>
      <c r="E386" s="5" t="s">
        <v>107</v>
      </c>
      <c r="F386" s="6">
        <v>0</v>
      </c>
      <c r="G386" t="str">
        <f>VLOOKUP(InputData[[#This Row],[PRODUCT ID]],MasterData[],2,)</f>
        <v>Product17</v>
      </c>
      <c r="H386" t="str">
        <f>VLOOKUP(InputData[[#This Row],[PRODUCT ID]],MasterData[],3,)</f>
        <v>Category02</v>
      </c>
      <c r="I386" t="str">
        <f>VLOOKUP(InputData[[#This Row],[PRODUCT ID]],MasterData[],4,)</f>
        <v>Ft</v>
      </c>
      <c r="J386" s="7">
        <f>VLOOKUP(InputData[[#This Row],[PRODUCT ID]],MasterData[],5,)</f>
        <v>134</v>
      </c>
      <c r="K386" s="7">
        <f>VLOOKUP(InputData[[#This Row],[PRODUCT ID]],MasterData[],6,)</f>
        <v>156.78</v>
      </c>
      <c r="L386" s="7">
        <f>InputData[[#This Row],[BUYING PRIZE]]*InputData[[#This Row],[QUANTITY]]</f>
        <v>1876</v>
      </c>
      <c r="M386" s="7">
        <f>InputData[[#This Row],[SELLING PRICE]]*InputData[[#This Row],[QUANTITY]]*(1-InputData[[#This Row],[DISCOUNT %]])</f>
        <v>2194.92</v>
      </c>
      <c r="N386">
        <f>DAY(InputData[[#This Row],[DATE]])</f>
        <v>21</v>
      </c>
      <c r="O386" t="str">
        <f>TEXT(InputData[[#This Row],[DATE]],"mmm")</f>
        <v>Jun</v>
      </c>
      <c r="P386">
        <f>YEAR(InputData[[#This Row],[DATE]])</f>
        <v>2022</v>
      </c>
    </row>
    <row r="387" spans="1:16" x14ac:dyDescent="0.3">
      <c r="A387" s="3">
        <v>44734</v>
      </c>
      <c r="B387" s="4" t="s">
        <v>90</v>
      </c>
      <c r="C387" s="5">
        <v>10</v>
      </c>
      <c r="D387" s="5" t="s">
        <v>106</v>
      </c>
      <c r="E387" s="5" t="s">
        <v>107</v>
      </c>
      <c r="F387" s="6">
        <v>0</v>
      </c>
      <c r="G387" t="str">
        <f>VLOOKUP(InputData[[#This Row],[PRODUCT ID]],MasterData[],2,)</f>
        <v>Product40</v>
      </c>
      <c r="H387" t="str">
        <f>VLOOKUP(InputData[[#This Row],[PRODUCT ID]],MasterData[],3,)</f>
        <v>Category05</v>
      </c>
      <c r="I387" t="str">
        <f>VLOOKUP(InputData[[#This Row],[PRODUCT ID]],MasterData[],4,)</f>
        <v>Kg</v>
      </c>
      <c r="J387" s="7">
        <f>VLOOKUP(InputData[[#This Row],[PRODUCT ID]],MasterData[],5,)</f>
        <v>90</v>
      </c>
      <c r="K387" s="7">
        <f>VLOOKUP(InputData[[#This Row],[PRODUCT ID]],MasterData[],6,)</f>
        <v>115.2</v>
      </c>
      <c r="L387" s="7">
        <f>InputData[[#This Row],[BUYING PRIZE]]*InputData[[#This Row],[QUANTITY]]</f>
        <v>900</v>
      </c>
      <c r="M387" s="7">
        <f>InputData[[#This Row],[SELLING PRICE]]*InputData[[#This Row],[QUANTITY]]*(1-InputData[[#This Row],[DISCOUNT %]])</f>
        <v>1152</v>
      </c>
      <c r="N387">
        <f>DAY(InputData[[#This Row],[DATE]])</f>
        <v>22</v>
      </c>
      <c r="O387" t="str">
        <f>TEXT(InputData[[#This Row],[DATE]],"mmm")</f>
        <v>Jun</v>
      </c>
      <c r="P387">
        <f>YEAR(InputData[[#This Row],[DATE]])</f>
        <v>2022</v>
      </c>
    </row>
    <row r="388" spans="1:16" x14ac:dyDescent="0.3">
      <c r="A388" s="3">
        <v>44734</v>
      </c>
      <c r="B388" s="4" t="s">
        <v>6</v>
      </c>
      <c r="C388" s="5">
        <v>4</v>
      </c>
      <c r="D388" s="5" t="s">
        <v>108</v>
      </c>
      <c r="E388" s="5" t="s">
        <v>107</v>
      </c>
      <c r="F388" s="6">
        <v>0</v>
      </c>
      <c r="G388" t="str">
        <f>VLOOKUP(InputData[[#This Row],[PRODUCT ID]],MasterData[],2,)</f>
        <v>Product01</v>
      </c>
      <c r="H388" t="str">
        <f>VLOOKUP(InputData[[#This Row],[PRODUCT ID]],MasterData[],3,)</f>
        <v>Category01</v>
      </c>
      <c r="I388" t="str">
        <f>VLOOKUP(InputData[[#This Row],[PRODUCT ID]],MasterData[],4,)</f>
        <v>Kg</v>
      </c>
      <c r="J388" s="7">
        <f>VLOOKUP(InputData[[#This Row],[PRODUCT ID]],MasterData[],5,)</f>
        <v>98</v>
      </c>
      <c r="K388" s="7">
        <f>VLOOKUP(InputData[[#This Row],[PRODUCT ID]],MasterData[],6,)</f>
        <v>103.88</v>
      </c>
      <c r="L388" s="7">
        <f>InputData[[#This Row],[BUYING PRIZE]]*InputData[[#This Row],[QUANTITY]]</f>
        <v>392</v>
      </c>
      <c r="M388" s="7">
        <f>InputData[[#This Row],[SELLING PRICE]]*InputData[[#This Row],[QUANTITY]]*(1-InputData[[#This Row],[DISCOUNT %]])</f>
        <v>415.52</v>
      </c>
      <c r="N388">
        <f>DAY(InputData[[#This Row],[DATE]])</f>
        <v>22</v>
      </c>
      <c r="O388" t="str">
        <f>TEXT(InputData[[#This Row],[DATE]],"mmm")</f>
        <v>Jun</v>
      </c>
      <c r="P388">
        <f>YEAR(InputData[[#This Row],[DATE]])</f>
        <v>2022</v>
      </c>
    </row>
    <row r="389" spans="1:16" x14ac:dyDescent="0.3">
      <c r="A389" s="3">
        <v>44735</v>
      </c>
      <c r="B389" s="4" t="s">
        <v>14</v>
      </c>
      <c r="C389" s="5">
        <v>8</v>
      </c>
      <c r="D389" s="5" t="s">
        <v>108</v>
      </c>
      <c r="E389" s="5" t="s">
        <v>106</v>
      </c>
      <c r="F389" s="6">
        <v>0</v>
      </c>
      <c r="G389" t="str">
        <f>VLOOKUP(InputData[[#This Row],[PRODUCT ID]],MasterData[],2,)</f>
        <v>Product04</v>
      </c>
      <c r="H389" t="str">
        <f>VLOOKUP(InputData[[#This Row],[PRODUCT ID]],MasterData[],3,)</f>
        <v>Category01</v>
      </c>
      <c r="I389" t="str">
        <f>VLOOKUP(InputData[[#This Row],[PRODUCT ID]],MasterData[],4,)</f>
        <v>Lt</v>
      </c>
      <c r="J389" s="7">
        <f>VLOOKUP(InputData[[#This Row],[PRODUCT ID]],MasterData[],5,)</f>
        <v>44</v>
      </c>
      <c r="K389" s="7">
        <f>VLOOKUP(InputData[[#This Row],[PRODUCT ID]],MasterData[],6,)</f>
        <v>48.84</v>
      </c>
      <c r="L389" s="7">
        <f>InputData[[#This Row],[BUYING PRIZE]]*InputData[[#This Row],[QUANTITY]]</f>
        <v>352</v>
      </c>
      <c r="M389" s="7">
        <f>InputData[[#This Row],[SELLING PRICE]]*InputData[[#This Row],[QUANTITY]]*(1-InputData[[#This Row],[DISCOUNT %]])</f>
        <v>390.72</v>
      </c>
      <c r="N389">
        <f>DAY(InputData[[#This Row],[DATE]])</f>
        <v>23</v>
      </c>
      <c r="O389" t="str">
        <f>TEXT(InputData[[#This Row],[DATE]],"mmm")</f>
        <v>Jun</v>
      </c>
      <c r="P389">
        <f>YEAR(InputData[[#This Row],[DATE]])</f>
        <v>2022</v>
      </c>
    </row>
    <row r="390" spans="1:16" x14ac:dyDescent="0.3">
      <c r="A390" s="3">
        <v>44736</v>
      </c>
      <c r="B390" s="4" t="s">
        <v>43</v>
      </c>
      <c r="C390" s="5">
        <v>7</v>
      </c>
      <c r="D390" s="5" t="s">
        <v>108</v>
      </c>
      <c r="E390" s="5" t="s">
        <v>107</v>
      </c>
      <c r="F390" s="6">
        <v>0</v>
      </c>
      <c r="G390" t="str">
        <f>VLOOKUP(InputData[[#This Row],[PRODUCT ID]],MasterData[],2,)</f>
        <v>Product18</v>
      </c>
      <c r="H390" t="str">
        <f>VLOOKUP(InputData[[#This Row],[PRODUCT ID]],MasterData[],3,)</f>
        <v>Category02</v>
      </c>
      <c r="I390" t="str">
        <f>VLOOKUP(InputData[[#This Row],[PRODUCT ID]],MasterData[],4,)</f>
        <v>No.</v>
      </c>
      <c r="J390" s="7">
        <f>VLOOKUP(InputData[[#This Row],[PRODUCT ID]],MasterData[],5,)</f>
        <v>37</v>
      </c>
      <c r="K390" s="7">
        <f>VLOOKUP(InputData[[#This Row],[PRODUCT ID]],MasterData[],6,)</f>
        <v>49.21</v>
      </c>
      <c r="L390" s="7">
        <f>InputData[[#This Row],[BUYING PRIZE]]*InputData[[#This Row],[QUANTITY]]</f>
        <v>259</v>
      </c>
      <c r="M390" s="7">
        <f>InputData[[#This Row],[SELLING PRICE]]*InputData[[#This Row],[QUANTITY]]*(1-InputData[[#This Row],[DISCOUNT %]])</f>
        <v>344.47</v>
      </c>
      <c r="N390">
        <f>DAY(InputData[[#This Row],[DATE]])</f>
        <v>24</v>
      </c>
      <c r="O390" t="str">
        <f>TEXT(InputData[[#This Row],[DATE]],"mmm")</f>
        <v>Jun</v>
      </c>
      <c r="P390">
        <f>YEAR(InputData[[#This Row],[DATE]])</f>
        <v>2022</v>
      </c>
    </row>
    <row r="391" spans="1:16" x14ac:dyDescent="0.3">
      <c r="A391" s="3">
        <v>44737</v>
      </c>
      <c r="B391" s="4" t="s">
        <v>31</v>
      </c>
      <c r="C391" s="5">
        <v>7</v>
      </c>
      <c r="D391" s="5" t="s">
        <v>106</v>
      </c>
      <c r="E391" s="5" t="s">
        <v>106</v>
      </c>
      <c r="F391" s="6">
        <v>0</v>
      </c>
      <c r="G391" t="str">
        <f>VLOOKUP(InputData[[#This Row],[PRODUCT ID]],MasterData[],2,)</f>
        <v>Product12</v>
      </c>
      <c r="H391" t="str">
        <f>VLOOKUP(InputData[[#This Row],[PRODUCT ID]],MasterData[],3,)</f>
        <v>Category02</v>
      </c>
      <c r="I391" t="str">
        <f>VLOOKUP(InputData[[#This Row],[PRODUCT ID]],MasterData[],4,)</f>
        <v>Kg</v>
      </c>
      <c r="J391" s="7">
        <f>VLOOKUP(InputData[[#This Row],[PRODUCT ID]],MasterData[],5,)</f>
        <v>73</v>
      </c>
      <c r="K391" s="7">
        <f>VLOOKUP(InputData[[#This Row],[PRODUCT ID]],MasterData[],6,)</f>
        <v>94.17</v>
      </c>
      <c r="L391" s="7">
        <f>InputData[[#This Row],[BUYING PRIZE]]*InputData[[#This Row],[QUANTITY]]</f>
        <v>511</v>
      </c>
      <c r="M391" s="7">
        <f>InputData[[#This Row],[SELLING PRICE]]*InputData[[#This Row],[QUANTITY]]*(1-InputData[[#This Row],[DISCOUNT %]])</f>
        <v>659.19</v>
      </c>
      <c r="N391">
        <f>DAY(InputData[[#This Row],[DATE]])</f>
        <v>25</v>
      </c>
      <c r="O391" t="str">
        <f>TEXT(InputData[[#This Row],[DATE]],"mmm")</f>
        <v>Jun</v>
      </c>
      <c r="P391">
        <f>YEAR(InputData[[#This Row],[DATE]])</f>
        <v>2022</v>
      </c>
    </row>
    <row r="392" spans="1:16" x14ac:dyDescent="0.3">
      <c r="A392" s="3">
        <v>44738</v>
      </c>
      <c r="B392" s="4" t="s">
        <v>77</v>
      </c>
      <c r="C392" s="5">
        <v>4</v>
      </c>
      <c r="D392" s="5" t="s">
        <v>108</v>
      </c>
      <c r="E392" s="5" t="s">
        <v>107</v>
      </c>
      <c r="F392" s="6">
        <v>0</v>
      </c>
      <c r="G392" t="str">
        <f>VLOOKUP(InputData[[#This Row],[PRODUCT ID]],MasterData[],2,)</f>
        <v>Product34</v>
      </c>
      <c r="H392" t="str">
        <f>VLOOKUP(InputData[[#This Row],[PRODUCT ID]],MasterData[],3,)</f>
        <v>Category04</v>
      </c>
      <c r="I392" t="str">
        <f>VLOOKUP(InputData[[#This Row],[PRODUCT ID]],MasterData[],4,)</f>
        <v>Lt</v>
      </c>
      <c r="J392" s="7">
        <f>VLOOKUP(InputData[[#This Row],[PRODUCT ID]],MasterData[],5,)</f>
        <v>55</v>
      </c>
      <c r="K392" s="7">
        <f>VLOOKUP(InputData[[#This Row],[PRODUCT ID]],MasterData[],6,)</f>
        <v>58.3</v>
      </c>
      <c r="L392" s="7">
        <f>InputData[[#This Row],[BUYING PRIZE]]*InputData[[#This Row],[QUANTITY]]</f>
        <v>220</v>
      </c>
      <c r="M392" s="7">
        <f>InputData[[#This Row],[SELLING PRICE]]*InputData[[#This Row],[QUANTITY]]*(1-InputData[[#This Row],[DISCOUNT %]])</f>
        <v>233.2</v>
      </c>
      <c r="N392">
        <f>DAY(InputData[[#This Row],[DATE]])</f>
        <v>26</v>
      </c>
      <c r="O392" t="str">
        <f>TEXT(InputData[[#This Row],[DATE]],"mmm")</f>
        <v>Jun</v>
      </c>
      <c r="P392">
        <f>YEAR(InputData[[#This Row],[DATE]])</f>
        <v>2022</v>
      </c>
    </row>
    <row r="393" spans="1:16" x14ac:dyDescent="0.3">
      <c r="A393" s="3">
        <v>44738</v>
      </c>
      <c r="B393" s="4" t="s">
        <v>96</v>
      </c>
      <c r="C393" s="5">
        <v>12</v>
      </c>
      <c r="D393" s="5" t="s">
        <v>108</v>
      </c>
      <c r="E393" s="5" t="s">
        <v>106</v>
      </c>
      <c r="F393" s="6">
        <v>0</v>
      </c>
      <c r="G393" t="str">
        <f>VLOOKUP(InputData[[#This Row],[PRODUCT ID]],MasterData[],2,)</f>
        <v>Product43</v>
      </c>
      <c r="H393" t="str">
        <f>VLOOKUP(InputData[[#This Row],[PRODUCT ID]],MasterData[],3,)</f>
        <v>Category05</v>
      </c>
      <c r="I393" t="str">
        <f>VLOOKUP(InputData[[#This Row],[PRODUCT ID]],MasterData[],4,)</f>
        <v>Kg</v>
      </c>
      <c r="J393" s="7">
        <f>VLOOKUP(InputData[[#This Row],[PRODUCT ID]],MasterData[],5,)</f>
        <v>67</v>
      </c>
      <c r="K393" s="7">
        <f>VLOOKUP(InputData[[#This Row],[PRODUCT ID]],MasterData[],6,)</f>
        <v>83.08</v>
      </c>
      <c r="L393" s="7">
        <f>InputData[[#This Row],[BUYING PRIZE]]*InputData[[#This Row],[QUANTITY]]</f>
        <v>804</v>
      </c>
      <c r="M393" s="7">
        <f>InputData[[#This Row],[SELLING PRICE]]*InputData[[#This Row],[QUANTITY]]*(1-InputData[[#This Row],[DISCOUNT %]])</f>
        <v>996.96</v>
      </c>
      <c r="N393">
        <f>DAY(InputData[[#This Row],[DATE]])</f>
        <v>26</v>
      </c>
      <c r="O393" t="str">
        <f>TEXT(InputData[[#This Row],[DATE]],"mmm")</f>
        <v>Jun</v>
      </c>
      <c r="P393">
        <f>YEAR(InputData[[#This Row],[DATE]])</f>
        <v>2022</v>
      </c>
    </row>
    <row r="394" spans="1:16" x14ac:dyDescent="0.3">
      <c r="A394" s="3">
        <v>44745</v>
      </c>
      <c r="B394" s="4" t="s">
        <v>75</v>
      </c>
      <c r="C394" s="5">
        <v>15</v>
      </c>
      <c r="D394" s="5" t="s">
        <v>108</v>
      </c>
      <c r="E394" s="5" t="s">
        <v>107</v>
      </c>
      <c r="F394" s="6">
        <v>0</v>
      </c>
      <c r="G394" t="str">
        <f>VLOOKUP(InputData[[#This Row],[PRODUCT ID]],MasterData[],2,)</f>
        <v>Product33</v>
      </c>
      <c r="H394" t="str">
        <f>VLOOKUP(InputData[[#This Row],[PRODUCT ID]],MasterData[],3,)</f>
        <v>Category04</v>
      </c>
      <c r="I394" t="str">
        <f>VLOOKUP(InputData[[#This Row],[PRODUCT ID]],MasterData[],4,)</f>
        <v>Kg</v>
      </c>
      <c r="J394" s="7">
        <f>VLOOKUP(InputData[[#This Row],[PRODUCT ID]],MasterData[],5,)</f>
        <v>95</v>
      </c>
      <c r="K394" s="7">
        <f>VLOOKUP(InputData[[#This Row],[PRODUCT ID]],MasterData[],6,)</f>
        <v>119.7</v>
      </c>
      <c r="L394" s="7">
        <f>InputData[[#This Row],[BUYING PRIZE]]*InputData[[#This Row],[QUANTITY]]</f>
        <v>1425</v>
      </c>
      <c r="M394" s="7">
        <f>InputData[[#This Row],[SELLING PRICE]]*InputData[[#This Row],[QUANTITY]]*(1-InputData[[#This Row],[DISCOUNT %]])</f>
        <v>1795.5</v>
      </c>
      <c r="N394">
        <f>DAY(InputData[[#This Row],[DATE]])</f>
        <v>3</v>
      </c>
      <c r="O394" t="str">
        <f>TEXT(InputData[[#This Row],[DATE]],"mmm")</f>
        <v>Jul</v>
      </c>
      <c r="P394">
        <f>YEAR(InputData[[#This Row],[DATE]])</f>
        <v>2022</v>
      </c>
    </row>
    <row r="395" spans="1:16" x14ac:dyDescent="0.3">
      <c r="A395" s="3">
        <v>44746</v>
      </c>
      <c r="B395" s="4" t="s">
        <v>20</v>
      </c>
      <c r="C395" s="5">
        <v>7</v>
      </c>
      <c r="D395" s="5" t="s">
        <v>108</v>
      </c>
      <c r="E395" s="5" t="s">
        <v>106</v>
      </c>
      <c r="F395" s="6">
        <v>0</v>
      </c>
      <c r="G395" t="str">
        <f>VLOOKUP(InputData[[#This Row],[PRODUCT ID]],MasterData[],2,)</f>
        <v>Product07</v>
      </c>
      <c r="H395" t="str">
        <f>VLOOKUP(InputData[[#This Row],[PRODUCT ID]],MasterData[],3,)</f>
        <v>Category01</v>
      </c>
      <c r="I395" t="str">
        <f>VLOOKUP(InputData[[#This Row],[PRODUCT ID]],MasterData[],4,)</f>
        <v>Lt</v>
      </c>
      <c r="J395" s="7">
        <f>VLOOKUP(InputData[[#This Row],[PRODUCT ID]],MasterData[],5,)</f>
        <v>43</v>
      </c>
      <c r="K395" s="7">
        <f>VLOOKUP(InputData[[#This Row],[PRODUCT ID]],MasterData[],6,)</f>
        <v>47.730000000000004</v>
      </c>
      <c r="L395" s="7">
        <f>InputData[[#This Row],[BUYING PRIZE]]*InputData[[#This Row],[QUANTITY]]</f>
        <v>301</v>
      </c>
      <c r="M395" s="7">
        <f>InputData[[#This Row],[SELLING PRICE]]*InputData[[#This Row],[QUANTITY]]*(1-InputData[[#This Row],[DISCOUNT %]])</f>
        <v>334.11</v>
      </c>
      <c r="N395">
        <f>DAY(InputData[[#This Row],[DATE]])</f>
        <v>4</v>
      </c>
      <c r="O395" t="str">
        <f>TEXT(InputData[[#This Row],[DATE]],"mmm")</f>
        <v>Jul</v>
      </c>
      <c r="P395">
        <f>YEAR(InputData[[#This Row],[DATE]])</f>
        <v>2022</v>
      </c>
    </row>
    <row r="396" spans="1:16" x14ac:dyDescent="0.3">
      <c r="A396" s="3">
        <v>44747</v>
      </c>
      <c r="B396" s="4" t="s">
        <v>58</v>
      </c>
      <c r="C396" s="5">
        <v>7</v>
      </c>
      <c r="D396" s="5" t="s">
        <v>106</v>
      </c>
      <c r="E396" s="5" t="s">
        <v>107</v>
      </c>
      <c r="F396" s="6">
        <v>0</v>
      </c>
      <c r="G396" t="str">
        <f>VLOOKUP(InputData[[#This Row],[PRODUCT ID]],MasterData[],2,)</f>
        <v>Product25</v>
      </c>
      <c r="H396" t="str">
        <f>VLOOKUP(InputData[[#This Row],[PRODUCT ID]],MasterData[],3,)</f>
        <v>Category03</v>
      </c>
      <c r="I396" t="str">
        <f>VLOOKUP(InputData[[#This Row],[PRODUCT ID]],MasterData[],4,)</f>
        <v>No.</v>
      </c>
      <c r="J396" s="7">
        <f>VLOOKUP(InputData[[#This Row],[PRODUCT ID]],MasterData[],5,)</f>
        <v>7</v>
      </c>
      <c r="K396" s="7">
        <f>VLOOKUP(InputData[[#This Row],[PRODUCT ID]],MasterData[],6,)</f>
        <v>8.33</v>
      </c>
      <c r="L396" s="7">
        <f>InputData[[#This Row],[BUYING PRIZE]]*InputData[[#This Row],[QUANTITY]]</f>
        <v>49</v>
      </c>
      <c r="M396" s="7">
        <f>InputData[[#This Row],[SELLING PRICE]]*InputData[[#This Row],[QUANTITY]]*(1-InputData[[#This Row],[DISCOUNT %]])</f>
        <v>58.31</v>
      </c>
      <c r="N396">
        <f>DAY(InputData[[#This Row],[DATE]])</f>
        <v>5</v>
      </c>
      <c r="O396" t="str">
        <f>TEXT(InputData[[#This Row],[DATE]],"mmm")</f>
        <v>Jul</v>
      </c>
      <c r="P396">
        <f>YEAR(InputData[[#This Row],[DATE]])</f>
        <v>2022</v>
      </c>
    </row>
    <row r="397" spans="1:16" x14ac:dyDescent="0.3">
      <c r="A397" s="3">
        <v>44747</v>
      </c>
      <c r="B397" s="4" t="s">
        <v>37</v>
      </c>
      <c r="C397" s="5">
        <v>8</v>
      </c>
      <c r="D397" s="5" t="s">
        <v>108</v>
      </c>
      <c r="E397" s="5" t="s">
        <v>106</v>
      </c>
      <c r="F397" s="6">
        <v>0</v>
      </c>
      <c r="G397" t="str">
        <f>VLOOKUP(InputData[[#This Row],[PRODUCT ID]],MasterData[],2,)</f>
        <v>Product15</v>
      </c>
      <c r="H397" t="str">
        <f>VLOOKUP(InputData[[#This Row],[PRODUCT ID]],MasterData[],3,)</f>
        <v>Category02</v>
      </c>
      <c r="I397" t="str">
        <f>VLOOKUP(InputData[[#This Row],[PRODUCT ID]],MasterData[],4,)</f>
        <v>No.</v>
      </c>
      <c r="J397" s="7">
        <f>VLOOKUP(InputData[[#This Row],[PRODUCT ID]],MasterData[],5,)</f>
        <v>12</v>
      </c>
      <c r="K397" s="7">
        <f>VLOOKUP(InputData[[#This Row],[PRODUCT ID]],MasterData[],6,)</f>
        <v>15.719999999999999</v>
      </c>
      <c r="L397" s="7">
        <f>InputData[[#This Row],[BUYING PRIZE]]*InputData[[#This Row],[QUANTITY]]</f>
        <v>96</v>
      </c>
      <c r="M397" s="7">
        <f>InputData[[#This Row],[SELLING PRICE]]*InputData[[#This Row],[QUANTITY]]*(1-InputData[[#This Row],[DISCOUNT %]])</f>
        <v>125.75999999999999</v>
      </c>
      <c r="N397">
        <f>DAY(InputData[[#This Row],[DATE]])</f>
        <v>5</v>
      </c>
      <c r="O397" t="str">
        <f>TEXT(InputData[[#This Row],[DATE]],"mmm")</f>
        <v>Jul</v>
      </c>
      <c r="P397">
        <f>YEAR(InputData[[#This Row],[DATE]])</f>
        <v>2022</v>
      </c>
    </row>
    <row r="398" spans="1:16" x14ac:dyDescent="0.3">
      <c r="A398" s="3">
        <v>44748</v>
      </c>
      <c r="B398" s="4" t="s">
        <v>92</v>
      </c>
      <c r="C398" s="5">
        <v>2</v>
      </c>
      <c r="D398" s="5" t="s">
        <v>108</v>
      </c>
      <c r="E398" s="5" t="s">
        <v>107</v>
      </c>
      <c r="F398" s="6">
        <v>0</v>
      </c>
      <c r="G398" t="str">
        <f>VLOOKUP(InputData[[#This Row],[PRODUCT ID]],MasterData[],2,)</f>
        <v>Product41</v>
      </c>
      <c r="H398" t="str">
        <f>VLOOKUP(InputData[[#This Row],[PRODUCT ID]],MasterData[],3,)</f>
        <v>Category05</v>
      </c>
      <c r="I398" t="str">
        <f>VLOOKUP(InputData[[#This Row],[PRODUCT ID]],MasterData[],4,)</f>
        <v>Ft</v>
      </c>
      <c r="J398" s="7">
        <f>VLOOKUP(InputData[[#This Row],[PRODUCT ID]],MasterData[],5,)</f>
        <v>138</v>
      </c>
      <c r="K398" s="7">
        <f>VLOOKUP(InputData[[#This Row],[PRODUCT ID]],MasterData[],6,)</f>
        <v>173.88</v>
      </c>
      <c r="L398" s="7">
        <f>InputData[[#This Row],[BUYING PRIZE]]*InputData[[#This Row],[QUANTITY]]</f>
        <v>276</v>
      </c>
      <c r="M398" s="7">
        <f>InputData[[#This Row],[SELLING PRICE]]*InputData[[#This Row],[QUANTITY]]*(1-InputData[[#This Row],[DISCOUNT %]])</f>
        <v>347.76</v>
      </c>
      <c r="N398">
        <f>DAY(InputData[[#This Row],[DATE]])</f>
        <v>6</v>
      </c>
      <c r="O398" t="str">
        <f>TEXT(InputData[[#This Row],[DATE]],"mmm")</f>
        <v>Jul</v>
      </c>
      <c r="P398">
        <f>YEAR(InputData[[#This Row],[DATE]])</f>
        <v>2022</v>
      </c>
    </row>
    <row r="399" spans="1:16" x14ac:dyDescent="0.3">
      <c r="A399" s="3">
        <v>44750</v>
      </c>
      <c r="B399" s="4" t="s">
        <v>43</v>
      </c>
      <c r="C399" s="5">
        <v>2</v>
      </c>
      <c r="D399" s="5" t="s">
        <v>108</v>
      </c>
      <c r="E399" s="5" t="s">
        <v>106</v>
      </c>
      <c r="F399" s="6">
        <v>0</v>
      </c>
      <c r="G399" t="str">
        <f>VLOOKUP(InputData[[#This Row],[PRODUCT ID]],MasterData[],2,)</f>
        <v>Product18</v>
      </c>
      <c r="H399" t="str">
        <f>VLOOKUP(InputData[[#This Row],[PRODUCT ID]],MasterData[],3,)</f>
        <v>Category02</v>
      </c>
      <c r="I399" t="str">
        <f>VLOOKUP(InputData[[#This Row],[PRODUCT ID]],MasterData[],4,)</f>
        <v>No.</v>
      </c>
      <c r="J399" s="7">
        <f>VLOOKUP(InputData[[#This Row],[PRODUCT ID]],MasterData[],5,)</f>
        <v>37</v>
      </c>
      <c r="K399" s="7">
        <f>VLOOKUP(InputData[[#This Row],[PRODUCT ID]],MasterData[],6,)</f>
        <v>49.21</v>
      </c>
      <c r="L399" s="7">
        <f>InputData[[#This Row],[BUYING PRIZE]]*InputData[[#This Row],[QUANTITY]]</f>
        <v>74</v>
      </c>
      <c r="M399" s="7">
        <f>InputData[[#This Row],[SELLING PRICE]]*InputData[[#This Row],[QUANTITY]]*(1-InputData[[#This Row],[DISCOUNT %]])</f>
        <v>98.42</v>
      </c>
      <c r="N399">
        <f>DAY(InputData[[#This Row],[DATE]])</f>
        <v>8</v>
      </c>
      <c r="O399" t="str">
        <f>TEXT(InputData[[#This Row],[DATE]],"mmm")</f>
        <v>Jul</v>
      </c>
      <c r="P399">
        <f>YEAR(InputData[[#This Row],[DATE]])</f>
        <v>2022</v>
      </c>
    </row>
    <row r="400" spans="1:16" x14ac:dyDescent="0.3">
      <c r="A400" s="3">
        <v>44752</v>
      </c>
      <c r="B400" s="4" t="s">
        <v>73</v>
      </c>
      <c r="C400" s="5">
        <v>12</v>
      </c>
      <c r="D400" s="5" t="s">
        <v>106</v>
      </c>
      <c r="E400" s="5" t="s">
        <v>107</v>
      </c>
      <c r="F400" s="6">
        <v>0</v>
      </c>
      <c r="G400" t="str">
        <f>VLOOKUP(InputData[[#This Row],[PRODUCT ID]],MasterData[],2,)</f>
        <v>Product32</v>
      </c>
      <c r="H400" t="str">
        <f>VLOOKUP(InputData[[#This Row],[PRODUCT ID]],MasterData[],3,)</f>
        <v>Category04</v>
      </c>
      <c r="I400" t="str">
        <f>VLOOKUP(InputData[[#This Row],[PRODUCT ID]],MasterData[],4,)</f>
        <v>Kg</v>
      </c>
      <c r="J400" s="7">
        <f>VLOOKUP(InputData[[#This Row],[PRODUCT ID]],MasterData[],5,)</f>
        <v>89</v>
      </c>
      <c r="K400" s="7">
        <f>VLOOKUP(InputData[[#This Row],[PRODUCT ID]],MasterData[],6,)</f>
        <v>117.48</v>
      </c>
      <c r="L400" s="7">
        <f>InputData[[#This Row],[BUYING PRIZE]]*InputData[[#This Row],[QUANTITY]]</f>
        <v>1068</v>
      </c>
      <c r="M400" s="7">
        <f>InputData[[#This Row],[SELLING PRICE]]*InputData[[#This Row],[QUANTITY]]*(1-InputData[[#This Row],[DISCOUNT %]])</f>
        <v>1409.76</v>
      </c>
      <c r="N400">
        <f>DAY(InputData[[#This Row],[DATE]])</f>
        <v>10</v>
      </c>
      <c r="O400" t="str">
        <f>TEXT(InputData[[#This Row],[DATE]],"mmm")</f>
        <v>Jul</v>
      </c>
      <c r="P400">
        <f>YEAR(InputData[[#This Row],[DATE]])</f>
        <v>2022</v>
      </c>
    </row>
    <row r="401" spans="1:16" x14ac:dyDescent="0.3">
      <c r="A401" s="3">
        <v>44754</v>
      </c>
      <c r="B401" s="4" t="s">
        <v>65</v>
      </c>
      <c r="C401" s="5">
        <v>12</v>
      </c>
      <c r="D401" s="5" t="s">
        <v>108</v>
      </c>
      <c r="E401" s="5" t="s">
        <v>107</v>
      </c>
      <c r="F401" s="6">
        <v>0</v>
      </c>
      <c r="G401" t="str">
        <f>VLOOKUP(InputData[[#This Row],[PRODUCT ID]],MasterData[],2,)</f>
        <v>Product28</v>
      </c>
      <c r="H401" t="str">
        <f>VLOOKUP(InputData[[#This Row],[PRODUCT ID]],MasterData[],3,)</f>
        <v>Category04</v>
      </c>
      <c r="I401" t="str">
        <f>VLOOKUP(InputData[[#This Row],[PRODUCT ID]],MasterData[],4,)</f>
        <v>No.</v>
      </c>
      <c r="J401" s="7">
        <f>VLOOKUP(InputData[[#This Row],[PRODUCT ID]],MasterData[],5,)</f>
        <v>37</v>
      </c>
      <c r="K401" s="7">
        <f>VLOOKUP(InputData[[#This Row],[PRODUCT ID]],MasterData[],6,)</f>
        <v>41.81</v>
      </c>
      <c r="L401" s="7">
        <f>InputData[[#This Row],[BUYING PRIZE]]*InputData[[#This Row],[QUANTITY]]</f>
        <v>444</v>
      </c>
      <c r="M401" s="7">
        <f>InputData[[#This Row],[SELLING PRICE]]*InputData[[#This Row],[QUANTITY]]*(1-InputData[[#This Row],[DISCOUNT %]])</f>
        <v>501.72</v>
      </c>
      <c r="N401">
        <f>DAY(InputData[[#This Row],[DATE]])</f>
        <v>12</v>
      </c>
      <c r="O401" t="str">
        <f>TEXT(InputData[[#This Row],[DATE]],"mmm")</f>
        <v>Jul</v>
      </c>
      <c r="P401">
        <f>YEAR(InputData[[#This Row],[DATE]])</f>
        <v>2022</v>
      </c>
    </row>
    <row r="402" spans="1:16" x14ac:dyDescent="0.3">
      <c r="A402" s="3">
        <v>44755</v>
      </c>
      <c r="B402" s="4" t="s">
        <v>58</v>
      </c>
      <c r="C402" s="5">
        <v>7</v>
      </c>
      <c r="D402" s="5" t="s">
        <v>108</v>
      </c>
      <c r="E402" s="5" t="s">
        <v>106</v>
      </c>
      <c r="F402" s="6">
        <v>0</v>
      </c>
      <c r="G402" t="str">
        <f>VLOOKUP(InputData[[#This Row],[PRODUCT ID]],MasterData[],2,)</f>
        <v>Product25</v>
      </c>
      <c r="H402" t="str">
        <f>VLOOKUP(InputData[[#This Row],[PRODUCT ID]],MasterData[],3,)</f>
        <v>Category03</v>
      </c>
      <c r="I402" t="str">
        <f>VLOOKUP(InputData[[#This Row],[PRODUCT ID]],MasterData[],4,)</f>
        <v>No.</v>
      </c>
      <c r="J402" s="7">
        <f>VLOOKUP(InputData[[#This Row],[PRODUCT ID]],MasterData[],5,)</f>
        <v>7</v>
      </c>
      <c r="K402" s="7">
        <f>VLOOKUP(InputData[[#This Row],[PRODUCT ID]],MasterData[],6,)</f>
        <v>8.33</v>
      </c>
      <c r="L402" s="7">
        <f>InputData[[#This Row],[BUYING PRIZE]]*InputData[[#This Row],[QUANTITY]]</f>
        <v>49</v>
      </c>
      <c r="M402" s="7">
        <f>InputData[[#This Row],[SELLING PRICE]]*InputData[[#This Row],[QUANTITY]]*(1-InputData[[#This Row],[DISCOUNT %]])</f>
        <v>58.31</v>
      </c>
      <c r="N402">
        <f>DAY(InputData[[#This Row],[DATE]])</f>
        <v>13</v>
      </c>
      <c r="O402" t="str">
        <f>TEXT(InputData[[#This Row],[DATE]],"mmm")</f>
        <v>Jul</v>
      </c>
      <c r="P402">
        <f>YEAR(InputData[[#This Row],[DATE]])</f>
        <v>2022</v>
      </c>
    </row>
    <row r="403" spans="1:16" x14ac:dyDescent="0.3">
      <c r="A403" s="3">
        <v>44756</v>
      </c>
      <c r="B403" s="4" t="s">
        <v>75</v>
      </c>
      <c r="C403" s="5">
        <v>9</v>
      </c>
      <c r="D403" s="5" t="s">
        <v>108</v>
      </c>
      <c r="E403" s="5" t="s">
        <v>106</v>
      </c>
      <c r="F403" s="6">
        <v>0</v>
      </c>
      <c r="G403" t="str">
        <f>VLOOKUP(InputData[[#This Row],[PRODUCT ID]],MasterData[],2,)</f>
        <v>Product33</v>
      </c>
      <c r="H403" t="str">
        <f>VLOOKUP(InputData[[#This Row],[PRODUCT ID]],MasterData[],3,)</f>
        <v>Category04</v>
      </c>
      <c r="I403" t="str">
        <f>VLOOKUP(InputData[[#This Row],[PRODUCT ID]],MasterData[],4,)</f>
        <v>Kg</v>
      </c>
      <c r="J403" s="7">
        <f>VLOOKUP(InputData[[#This Row],[PRODUCT ID]],MasterData[],5,)</f>
        <v>95</v>
      </c>
      <c r="K403" s="7">
        <f>VLOOKUP(InputData[[#This Row],[PRODUCT ID]],MasterData[],6,)</f>
        <v>119.7</v>
      </c>
      <c r="L403" s="7">
        <f>InputData[[#This Row],[BUYING PRIZE]]*InputData[[#This Row],[QUANTITY]]</f>
        <v>855</v>
      </c>
      <c r="M403" s="7">
        <f>InputData[[#This Row],[SELLING PRICE]]*InputData[[#This Row],[QUANTITY]]*(1-InputData[[#This Row],[DISCOUNT %]])</f>
        <v>1077.3</v>
      </c>
      <c r="N403">
        <f>DAY(InputData[[#This Row],[DATE]])</f>
        <v>14</v>
      </c>
      <c r="O403" t="str">
        <f>TEXT(InputData[[#This Row],[DATE]],"mmm")</f>
        <v>Jul</v>
      </c>
      <c r="P403">
        <f>YEAR(InputData[[#This Row],[DATE]])</f>
        <v>2022</v>
      </c>
    </row>
    <row r="404" spans="1:16" x14ac:dyDescent="0.3">
      <c r="A404" s="3">
        <v>44757</v>
      </c>
      <c r="B404" s="4" t="s">
        <v>14</v>
      </c>
      <c r="C404" s="5">
        <v>2</v>
      </c>
      <c r="D404" s="5" t="s">
        <v>106</v>
      </c>
      <c r="E404" s="5" t="s">
        <v>106</v>
      </c>
      <c r="F404" s="6">
        <v>0</v>
      </c>
      <c r="G404" t="str">
        <f>VLOOKUP(InputData[[#This Row],[PRODUCT ID]],MasterData[],2,)</f>
        <v>Product04</v>
      </c>
      <c r="H404" t="str">
        <f>VLOOKUP(InputData[[#This Row],[PRODUCT ID]],MasterData[],3,)</f>
        <v>Category01</v>
      </c>
      <c r="I404" t="str">
        <f>VLOOKUP(InputData[[#This Row],[PRODUCT ID]],MasterData[],4,)</f>
        <v>Lt</v>
      </c>
      <c r="J404" s="7">
        <f>VLOOKUP(InputData[[#This Row],[PRODUCT ID]],MasterData[],5,)</f>
        <v>44</v>
      </c>
      <c r="K404" s="7">
        <f>VLOOKUP(InputData[[#This Row],[PRODUCT ID]],MasterData[],6,)</f>
        <v>48.84</v>
      </c>
      <c r="L404" s="7">
        <f>InputData[[#This Row],[BUYING PRIZE]]*InputData[[#This Row],[QUANTITY]]</f>
        <v>88</v>
      </c>
      <c r="M404" s="7">
        <f>InputData[[#This Row],[SELLING PRICE]]*InputData[[#This Row],[QUANTITY]]*(1-InputData[[#This Row],[DISCOUNT %]])</f>
        <v>97.68</v>
      </c>
      <c r="N404">
        <f>DAY(InputData[[#This Row],[DATE]])</f>
        <v>15</v>
      </c>
      <c r="O404" t="str">
        <f>TEXT(InputData[[#This Row],[DATE]],"mmm")</f>
        <v>Jul</v>
      </c>
      <c r="P404">
        <f>YEAR(InputData[[#This Row],[DATE]])</f>
        <v>2022</v>
      </c>
    </row>
    <row r="405" spans="1:16" x14ac:dyDescent="0.3">
      <c r="A405" s="3">
        <v>44759</v>
      </c>
      <c r="B405" s="4" t="s">
        <v>92</v>
      </c>
      <c r="C405" s="5">
        <v>8</v>
      </c>
      <c r="D405" s="5" t="s">
        <v>106</v>
      </c>
      <c r="E405" s="5" t="s">
        <v>107</v>
      </c>
      <c r="F405" s="6">
        <v>0</v>
      </c>
      <c r="G405" t="str">
        <f>VLOOKUP(InputData[[#This Row],[PRODUCT ID]],MasterData[],2,)</f>
        <v>Product41</v>
      </c>
      <c r="H405" t="str">
        <f>VLOOKUP(InputData[[#This Row],[PRODUCT ID]],MasterData[],3,)</f>
        <v>Category05</v>
      </c>
      <c r="I405" t="str">
        <f>VLOOKUP(InputData[[#This Row],[PRODUCT ID]],MasterData[],4,)</f>
        <v>Ft</v>
      </c>
      <c r="J405" s="7">
        <f>VLOOKUP(InputData[[#This Row],[PRODUCT ID]],MasterData[],5,)</f>
        <v>138</v>
      </c>
      <c r="K405" s="7">
        <f>VLOOKUP(InputData[[#This Row],[PRODUCT ID]],MasterData[],6,)</f>
        <v>173.88</v>
      </c>
      <c r="L405" s="7">
        <f>InputData[[#This Row],[BUYING PRIZE]]*InputData[[#This Row],[QUANTITY]]</f>
        <v>1104</v>
      </c>
      <c r="M405" s="7">
        <f>InputData[[#This Row],[SELLING PRICE]]*InputData[[#This Row],[QUANTITY]]*(1-InputData[[#This Row],[DISCOUNT %]])</f>
        <v>1391.04</v>
      </c>
      <c r="N405">
        <f>DAY(InputData[[#This Row],[DATE]])</f>
        <v>17</v>
      </c>
      <c r="O405" t="str">
        <f>TEXT(InputData[[#This Row],[DATE]],"mmm")</f>
        <v>Jul</v>
      </c>
      <c r="P405">
        <f>YEAR(InputData[[#This Row],[DATE]])</f>
        <v>2022</v>
      </c>
    </row>
    <row r="406" spans="1:16" x14ac:dyDescent="0.3">
      <c r="A406" s="3">
        <v>44760</v>
      </c>
      <c r="B406" s="4" t="s">
        <v>26</v>
      </c>
      <c r="C406" s="5">
        <v>12</v>
      </c>
      <c r="D406" s="5" t="s">
        <v>108</v>
      </c>
      <c r="E406" s="5" t="s">
        <v>106</v>
      </c>
      <c r="F406" s="6">
        <v>0</v>
      </c>
      <c r="G406" t="str">
        <f>VLOOKUP(InputData[[#This Row],[PRODUCT ID]],MasterData[],2,)</f>
        <v>Product10</v>
      </c>
      <c r="H406" t="str">
        <f>VLOOKUP(InputData[[#This Row],[PRODUCT ID]],MasterData[],3,)</f>
        <v>Category02</v>
      </c>
      <c r="I406" t="str">
        <f>VLOOKUP(InputData[[#This Row],[PRODUCT ID]],MasterData[],4,)</f>
        <v>Ft</v>
      </c>
      <c r="J406" s="7">
        <f>VLOOKUP(InputData[[#This Row],[PRODUCT ID]],MasterData[],5,)</f>
        <v>148</v>
      </c>
      <c r="K406" s="7">
        <f>VLOOKUP(InputData[[#This Row],[PRODUCT ID]],MasterData[],6,)</f>
        <v>164.28</v>
      </c>
      <c r="L406" s="7">
        <f>InputData[[#This Row],[BUYING PRIZE]]*InputData[[#This Row],[QUANTITY]]</f>
        <v>1776</v>
      </c>
      <c r="M406" s="7">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3">
      <c r="A407" s="3">
        <v>44762</v>
      </c>
      <c r="B407" s="4" t="s">
        <v>94</v>
      </c>
      <c r="C407" s="5">
        <v>8</v>
      </c>
      <c r="D407" s="5" t="s">
        <v>105</v>
      </c>
      <c r="E407" s="5" t="s">
        <v>106</v>
      </c>
      <c r="F407" s="6">
        <v>0</v>
      </c>
      <c r="G407" t="str">
        <f>VLOOKUP(InputData[[#This Row],[PRODUCT ID]],MasterData[],2,)</f>
        <v>Product42</v>
      </c>
      <c r="H407" t="str">
        <f>VLOOKUP(InputData[[#This Row],[PRODUCT ID]],MasterData[],3,)</f>
        <v>Category05</v>
      </c>
      <c r="I407" t="str">
        <f>VLOOKUP(InputData[[#This Row],[PRODUCT ID]],MasterData[],4,)</f>
        <v>Ft</v>
      </c>
      <c r="J407" s="7">
        <f>VLOOKUP(InputData[[#This Row],[PRODUCT ID]],MasterData[],5,)</f>
        <v>120</v>
      </c>
      <c r="K407" s="7">
        <f>VLOOKUP(InputData[[#This Row],[PRODUCT ID]],MasterData[],6,)</f>
        <v>162</v>
      </c>
      <c r="L407" s="7">
        <f>InputData[[#This Row],[BUYING PRIZE]]*InputData[[#This Row],[QUANTITY]]</f>
        <v>960</v>
      </c>
      <c r="M407" s="7">
        <f>InputData[[#This Row],[SELLING PRICE]]*InputData[[#This Row],[QUANTITY]]*(1-InputData[[#This Row],[DISCOUNT %]])</f>
        <v>1296</v>
      </c>
      <c r="N407">
        <f>DAY(InputData[[#This Row],[DATE]])</f>
        <v>20</v>
      </c>
      <c r="O407" t="str">
        <f>TEXT(InputData[[#This Row],[DATE]],"mmm")</f>
        <v>Jul</v>
      </c>
      <c r="P407">
        <f>YEAR(InputData[[#This Row],[DATE]])</f>
        <v>2022</v>
      </c>
    </row>
    <row r="408" spans="1:16" x14ac:dyDescent="0.3">
      <c r="A408" s="3">
        <v>44764</v>
      </c>
      <c r="B408" s="4" t="s">
        <v>77</v>
      </c>
      <c r="C408" s="5">
        <v>6</v>
      </c>
      <c r="D408" s="5" t="s">
        <v>108</v>
      </c>
      <c r="E408" s="5" t="s">
        <v>107</v>
      </c>
      <c r="F408" s="6">
        <v>0</v>
      </c>
      <c r="G408" t="str">
        <f>VLOOKUP(InputData[[#This Row],[PRODUCT ID]],MasterData[],2,)</f>
        <v>Product34</v>
      </c>
      <c r="H408" t="str">
        <f>VLOOKUP(InputData[[#This Row],[PRODUCT ID]],MasterData[],3,)</f>
        <v>Category04</v>
      </c>
      <c r="I408" t="str">
        <f>VLOOKUP(InputData[[#This Row],[PRODUCT ID]],MasterData[],4,)</f>
        <v>Lt</v>
      </c>
      <c r="J408" s="7">
        <f>VLOOKUP(InputData[[#This Row],[PRODUCT ID]],MasterData[],5,)</f>
        <v>55</v>
      </c>
      <c r="K408" s="7">
        <f>VLOOKUP(InputData[[#This Row],[PRODUCT ID]],MasterData[],6,)</f>
        <v>58.3</v>
      </c>
      <c r="L408" s="7">
        <f>InputData[[#This Row],[BUYING PRIZE]]*InputData[[#This Row],[QUANTITY]]</f>
        <v>330</v>
      </c>
      <c r="M408" s="7">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3">
      <c r="A409" s="3">
        <v>44765</v>
      </c>
      <c r="B409" s="4" t="s">
        <v>43</v>
      </c>
      <c r="C409" s="5">
        <v>2</v>
      </c>
      <c r="D409" s="5" t="s">
        <v>106</v>
      </c>
      <c r="E409" s="5" t="s">
        <v>106</v>
      </c>
      <c r="F409" s="6">
        <v>0</v>
      </c>
      <c r="G409" t="str">
        <f>VLOOKUP(InputData[[#This Row],[PRODUCT ID]],MasterData[],2,)</f>
        <v>Product18</v>
      </c>
      <c r="H409" t="str">
        <f>VLOOKUP(InputData[[#This Row],[PRODUCT ID]],MasterData[],3,)</f>
        <v>Category02</v>
      </c>
      <c r="I409" t="str">
        <f>VLOOKUP(InputData[[#This Row],[PRODUCT ID]],MasterData[],4,)</f>
        <v>No.</v>
      </c>
      <c r="J409" s="7">
        <f>VLOOKUP(InputData[[#This Row],[PRODUCT ID]],MasterData[],5,)</f>
        <v>37</v>
      </c>
      <c r="K409" s="7">
        <f>VLOOKUP(InputData[[#This Row],[PRODUCT ID]],MasterData[],6,)</f>
        <v>49.21</v>
      </c>
      <c r="L409" s="7">
        <f>InputData[[#This Row],[BUYING PRIZE]]*InputData[[#This Row],[QUANTITY]]</f>
        <v>74</v>
      </c>
      <c r="M409" s="7">
        <f>InputData[[#This Row],[SELLING PRICE]]*InputData[[#This Row],[QUANTITY]]*(1-InputData[[#This Row],[DISCOUNT %]])</f>
        <v>98.42</v>
      </c>
      <c r="N409">
        <f>DAY(InputData[[#This Row],[DATE]])</f>
        <v>23</v>
      </c>
      <c r="O409" t="str">
        <f>TEXT(InputData[[#This Row],[DATE]],"mmm")</f>
        <v>Jul</v>
      </c>
      <c r="P409">
        <f>YEAR(InputData[[#This Row],[DATE]])</f>
        <v>2022</v>
      </c>
    </row>
    <row r="410" spans="1:16" x14ac:dyDescent="0.3">
      <c r="A410" s="3">
        <v>44766</v>
      </c>
      <c r="B410" s="4" t="s">
        <v>18</v>
      </c>
      <c r="C410" s="5">
        <v>14</v>
      </c>
      <c r="D410" s="5" t="s">
        <v>108</v>
      </c>
      <c r="E410" s="5" t="s">
        <v>107</v>
      </c>
      <c r="F410" s="6">
        <v>0</v>
      </c>
      <c r="G410" t="str">
        <f>VLOOKUP(InputData[[#This Row],[PRODUCT ID]],MasterData[],2,)</f>
        <v>Product06</v>
      </c>
      <c r="H410" t="str">
        <f>VLOOKUP(InputData[[#This Row],[PRODUCT ID]],MasterData[],3,)</f>
        <v>Category01</v>
      </c>
      <c r="I410" t="str">
        <f>VLOOKUP(InputData[[#This Row],[PRODUCT ID]],MasterData[],4,)</f>
        <v>Kg</v>
      </c>
      <c r="J410" s="7">
        <f>VLOOKUP(InputData[[#This Row],[PRODUCT ID]],MasterData[],5,)</f>
        <v>75</v>
      </c>
      <c r="K410" s="7">
        <f>VLOOKUP(InputData[[#This Row],[PRODUCT ID]],MasterData[],6,)</f>
        <v>85.5</v>
      </c>
      <c r="L410" s="7">
        <f>InputData[[#This Row],[BUYING PRIZE]]*InputData[[#This Row],[QUANTITY]]</f>
        <v>1050</v>
      </c>
      <c r="M410" s="7">
        <f>InputData[[#This Row],[SELLING PRICE]]*InputData[[#This Row],[QUANTITY]]*(1-InputData[[#This Row],[DISCOUNT %]])</f>
        <v>1197</v>
      </c>
      <c r="N410">
        <f>DAY(InputData[[#This Row],[DATE]])</f>
        <v>24</v>
      </c>
      <c r="O410" t="str">
        <f>TEXT(InputData[[#This Row],[DATE]],"mmm")</f>
        <v>Jul</v>
      </c>
      <c r="P410">
        <f>YEAR(InputData[[#This Row],[DATE]])</f>
        <v>2022</v>
      </c>
    </row>
    <row r="411" spans="1:16" x14ac:dyDescent="0.3">
      <c r="A411" s="3">
        <v>44766</v>
      </c>
      <c r="B411" s="4" t="s">
        <v>63</v>
      </c>
      <c r="C411" s="5">
        <v>1</v>
      </c>
      <c r="D411" s="5" t="s">
        <v>106</v>
      </c>
      <c r="E411" s="5" t="s">
        <v>106</v>
      </c>
      <c r="F411" s="6">
        <v>0</v>
      </c>
      <c r="G411" t="str">
        <f>VLOOKUP(InputData[[#This Row],[PRODUCT ID]],MasterData[],2,)</f>
        <v>Product27</v>
      </c>
      <c r="H411" t="str">
        <f>VLOOKUP(InputData[[#This Row],[PRODUCT ID]],MasterData[],3,)</f>
        <v>Category04</v>
      </c>
      <c r="I411" t="str">
        <f>VLOOKUP(InputData[[#This Row],[PRODUCT ID]],MasterData[],4,)</f>
        <v>Lt</v>
      </c>
      <c r="J411" s="7">
        <f>VLOOKUP(InputData[[#This Row],[PRODUCT ID]],MasterData[],5,)</f>
        <v>48</v>
      </c>
      <c r="K411" s="7">
        <f>VLOOKUP(InputData[[#This Row],[PRODUCT ID]],MasterData[],6,)</f>
        <v>57.120000000000005</v>
      </c>
      <c r="L411" s="7">
        <f>InputData[[#This Row],[BUYING PRIZE]]*InputData[[#This Row],[QUANTITY]]</f>
        <v>48</v>
      </c>
      <c r="M411" s="7">
        <f>InputData[[#This Row],[SELLING PRICE]]*InputData[[#This Row],[QUANTITY]]*(1-InputData[[#This Row],[DISCOUNT %]])</f>
        <v>57.120000000000005</v>
      </c>
      <c r="N411">
        <f>DAY(InputData[[#This Row],[DATE]])</f>
        <v>24</v>
      </c>
      <c r="O411" t="str">
        <f>TEXT(InputData[[#This Row],[DATE]],"mmm")</f>
        <v>Jul</v>
      </c>
      <c r="P411">
        <f>YEAR(InputData[[#This Row],[DATE]])</f>
        <v>2022</v>
      </c>
    </row>
    <row r="412" spans="1:16" x14ac:dyDescent="0.3">
      <c r="A412" s="3">
        <v>44767</v>
      </c>
      <c r="B412" s="4" t="s">
        <v>98</v>
      </c>
      <c r="C412" s="5">
        <v>2</v>
      </c>
      <c r="D412" s="5" t="s">
        <v>108</v>
      </c>
      <c r="E412" s="5" t="s">
        <v>107</v>
      </c>
      <c r="F412" s="6">
        <v>0</v>
      </c>
      <c r="G412" t="str">
        <f>VLOOKUP(InputData[[#This Row],[PRODUCT ID]],MasterData[],2,)</f>
        <v>Product44</v>
      </c>
      <c r="H412" t="str">
        <f>VLOOKUP(InputData[[#This Row],[PRODUCT ID]],MasterData[],3,)</f>
        <v>Category05</v>
      </c>
      <c r="I412" t="str">
        <f>VLOOKUP(InputData[[#This Row],[PRODUCT ID]],MasterData[],4,)</f>
        <v>Kg</v>
      </c>
      <c r="J412" s="7">
        <f>VLOOKUP(InputData[[#This Row],[PRODUCT ID]],MasterData[],5,)</f>
        <v>76</v>
      </c>
      <c r="K412" s="7">
        <f>VLOOKUP(InputData[[#This Row],[PRODUCT ID]],MasterData[],6,)</f>
        <v>82.08</v>
      </c>
      <c r="L412" s="7">
        <f>InputData[[#This Row],[BUYING PRIZE]]*InputData[[#This Row],[QUANTITY]]</f>
        <v>152</v>
      </c>
      <c r="M412" s="7">
        <f>InputData[[#This Row],[SELLING PRICE]]*InputData[[#This Row],[QUANTITY]]*(1-InputData[[#This Row],[DISCOUNT %]])</f>
        <v>164.16</v>
      </c>
      <c r="N412">
        <f>DAY(InputData[[#This Row],[DATE]])</f>
        <v>25</v>
      </c>
      <c r="O412" t="str">
        <f>TEXT(InputData[[#This Row],[DATE]],"mmm")</f>
        <v>Jul</v>
      </c>
      <c r="P412">
        <f>YEAR(InputData[[#This Row],[DATE]])</f>
        <v>2022</v>
      </c>
    </row>
    <row r="413" spans="1:16" x14ac:dyDescent="0.3">
      <c r="A413" s="3">
        <v>44767</v>
      </c>
      <c r="B413" s="4" t="s">
        <v>41</v>
      </c>
      <c r="C413" s="5">
        <v>12</v>
      </c>
      <c r="D413" s="5" t="s">
        <v>108</v>
      </c>
      <c r="E413" s="5" t="s">
        <v>107</v>
      </c>
      <c r="F413" s="6">
        <v>0</v>
      </c>
      <c r="G413" t="str">
        <f>VLOOKUP(InputData[[#This Row],[PRODUCT ID]],MasterData[],2,)</f>
        <v>Product17</v>
      </c>
      <c r="H413" t="str">
        <f>VLOOKUP(InputData[[#This Row],[PRODUCT ID]],MasterData[],3,)</f>
        <v>Category02</v>
      </c>
      <c r="I413" t="str">
        <f>VLOOKUP(InputData[[#This Row],[PRODUCT ID]],MasterData[],4,)</f>
        <v>Ft</v>
      </c>
      <c r="J413" s="7">
        <f>VLOOKUP(InputData[[#This Row],[PRODUCT ID]],MasterData[],5,)</f>
        <v>134</v>
      </c>
      <c r="K413" s="7">
        <f>VLOOKUP(InputData[[#This Row],[PRODUCT ID]],MasterData[],6,)</f>
        <v>156.78</v>
      </c>
      <c r="L413" s="7">
        <f>InputData[[#This Row],[BUYING PRIZE]]*InputData[[#This Row],[QUANTITY]]</f>
        <v>1608</v>
      </c>
      <c r="M413" s="7">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3">
      <c r="A414" s="3">
        <v>44767</v>
      </c>
      <c r="B414" s="4" t="s">
        <v>12</v>
      </c>
      <c r="C414" s="5">
        <v>13</v>
      </c>
      <c r="D414" s="5" t="s">
        <v>106</v>
      </c>
      <c r="E414" s="5" t="s">
        <v>107</v>
      </c>
      <c r="F414" s="6">
        <v>0</v>
      </c>
      <c r="G414" t="str">
        <f>VLOOKUP(InputData[[#This Row],[PRODUCT ID]],MasterData[],2,)</f>
        <v>Product03</v>
      </c>
      <c r="H414" t="str">
        <f>VLOOKUP(InputData[[#This Row],[PRODUCT ID]],MasterData[],3,)</f>
        <v>Category01</v>
      </c>
      <c r="I414" t="str">
        <f>VLOOKUP(InputData[[#This Row],[PRODUCT ID]],MasterData[],4,)</f>
        <v>Kg</v>
      </c>
      <c r="J414" s="7">
        <f>VLOOKUP(InputData[[#This Row],[PRODUCT ID]],MasterData[],5,)</f>
        <v>71</v>
      </c>
      <c r="K414" s="7">
        <f>VLOOKUP(InputData[[#This Row],[PRODUCT ID]],MasterData[],6,)</f>
        <v>80.94</v>
      </c>
      <c r="L414" s="7">
        <f>InputData[[#This Row],[BUYING PRIZE]]*InputData[[#This Row],[QUANTITY]]</f>
        <v>923</v>
      </c>
      <c r="M414" s="7">
        <f>InputData[[#This Row],[SELLING PRICE]]*InputData[[#This Row],[QUANTITY]]*(1-InputData[[#This Row],[DISCOUNT %]])</f>
        <v>1052.22</v>
      </c>
      <c r="N414">
        <f>DAY(InputData[[#This Row],[DATE]])</f>
        <v>25</v>
      </c>
      <c r="O414" t="str">
        <f>TEXT(InputData[[#This Row],[DATE]],"mmm")</f>
        <v>Jul</v>
      </c>
      <c r="P414">
        <f>YEAR(InputData[[#This Row],[DATE]])</f>
        <v>2022</v>
      </c>
    </row>
    <row r="415" spans="1:16" x14ac:dyDescent="0.3">
      <c r="A415" s="3">
        <v>44768</v>
      </c>
      <c r="B415" s="4" t="s">
        <v>12</v>
      </c>
      <c r="C415" s="5">
        <v>10</v>
      </c>
      <c r="D415" s="5" t="s">
        <v>106</v>
      </c>
      <c r="E415" s="5" t="s">
        <v>106</v>
      </c>
      <c r="F415" s="6">
        <v>0</v>
      </c>
      <c r="G415" t="str">
        <f>VLOOKUP(InputData[[#This Row],[PRODUCT ID]],MasterData[],2,)</f>
        <v>Product03</v>
      </c>
      <c r="H415" t="str">
        <f>VLOOKUP(InputData[[#This Row],[PRODUCT ID]],MasterData[],3,)</f>
        <v>Category01</v>
      </c>
      <c r="I415" t="str">
        <f>VLOOKUP(InputData[[#This Row],[PRODUCT ID]],MasterData[],4,)</f>
        <v>Kg</v>
      </c>
      <c r="J415" s="7">
        <f>VLOOKUP(InputData[[#This Row],[PRODUCT ID]],MasterData[],5,)</f>
        <v>71</v>
      </c>
      <c r="K415" s="7">
        <f>VLOOKUP(InputData[[#This Row],[PRODUCT ID]],MasterData[],6,)</f>
        <v>80.94</v>
      </c>
      <c r="L415" s="7">
        <f>InputData[[#This Row],[BUYING PRIZE]]*InputData[[#This Row],[QUANTITY]]</f>
        <v>710</v>
      </c>
      <c r="M415" s="7">
        <f>InputData[[#This Row],[SELLING PRICE]]*InputData[[#This Row],[QUANTITY]]*(1-InputData[[#This Row],[DISCOUNT %]])</f>
        <v>809.4</v>
      </c>
      <c r="N415">
        <f>DAY(InputData[[#This Row],[DATE]])</f>
        <v>26</v>
      </c>
      <c r="O415" t="str">
        <f>TEXT(InputData[[#This Row],[DATE]],"mmm")</f>
        <v>Jul</v>
      </c>
      <c r="P415">
        <f>YEAR(InputData[[#This Row],[DATE]])</f>
        <v>2022</v>
      </c>
    </row>
    <row r="416" spans="1:16" x14ac:dyDescent="0.3">
      <c r="A416" s="3">
        <v>44768</v>
      </c>
      <c r="B416" s="4" t="s">
        <v>60</v>
      </c>
      <c r="C416" s="5">
        <v>1</v>
      </c>
      <c r="D416" s="5" t="s">
        <v>106</v>
      </c>
      <c r="E416" s="5" t="s">
        <v>107</v>
      </c>
      <c r="F416" s="6">
        <v>0</v>
      </c>
      <c r="G416" t="str">
        <f>VLOOKUP(InputData[[#This Row],[PRODUCT ID]],MasterData[],2,)</f>
        <v>Product26</v>
      </c>
      <c r="H416" t="str">
        <f>VLOOKUP(InputData[[#This Row],[PRODUCT ID]],MasterData[],3,)</f>
        <v>Category04</v>
      </c>
      <c r="I416" t="str">
        <f>VLOOKUP(InputData[[#This Row],[PRODUCT ID]],MasterData[],4,)</f>
        <v>No.</v>
      </c>
      <c r="J416" s="7">
        <f>VLOOKUP(InputData[[#This Row],[PRODUCT ID]],MasterData[],5,)</f>
        <v>18</v>
      </c>
      <c r="K416" s="7">
        <f>VLOOKUP(InputData[[#This Row],[PRODUCT ID]],MasterData[],6,)</f>
        <v>24.66</v>
      </c>
      <c r="L416" s="7">
        <f>InputData[[#This Row],[BUYING PRIZE]]*InputData[[#This Row],[QUANTITY]]</f>
        <v>18</v>
      </c>
      <c r="M416" s="7">
        <f>InputData[[#This Row],[SELLING PRICE]]*InputData[[#This Row],[QUANTITY]]*(1-InputData[[#This Row],[DISCOUNT %]])</f>
        <v>24.66</v>
      </c>
      <c r="N416">
        <f>DAY(InputData[[#This Row],[DATE]])</f>
        <v>26</v>
      </c>
      <c r="O416" t="str">
        <f>TEXT(InputData[[#This Row],[DATE]],"mmm")</f>
        <v>Jul</v>
      </c>
      <c r="P416">
        <f>YEAR(InputData[[#This Row],[DATE]])</f>
        <v>2022</v>
      </c>
    </row>
    <row r="417" spans="1:16" x14ac:dyDescent="0.3">
      <c r="A417" s="3">
        <v>44776</v>
      </c>
      <c r="B417" s="4" t="s">
        <v>31</v>
      </c>
      <c r="C417" s="5">
        <v>5</v>
      </c>
      <c r="D417" s="5" t="s">
        <v>108</v>
      </c>
      <c r="E417" s="5" t="s">
        <v>107</v>
      </c>
      <c r="F417" s="6">
        <v>0</v>
      </c>
      <c r="G417" t="str">
        <f>VLOOKUP(InputData[[#This Row],[PRODUCT ID]],MasterData[],2,)</f>
        <v>Product12</v>
      </c>
      <c r="H417" t="str">
        <f>VLOOKUP(InputData[[#This Row],[PRODUCT ID]],MasterData[],3,)</f>
        <v>Category02</v>
      </c>
      <c r="I417" t="str">
        <f>VLOOKUP(InputData[[#This Row],[PRODUCT ID]],MasterData[],4,)</f>
        <v>Kg</v>
      </c>
      <c r="J417" s="7">
        <f>VLOOKUP(InputData[[#This Row],[PRODUCT ID]],MasterData[],5,)</f>
        <v>73</v>
      </c>
      <c r="K417" s="7">
        <f>VLOOKUP(InputData[[#This Row],[PRODUCT ID]],MasterData[],6,)</f>
        <v>94.17</v>
      </c>
      <c r="L417" s="7">
        <f>InputData[[#This Row],[BUYING PRIZE]]*InputData[[#This Row],[QUANTITY]]</f>
        <v>365</v>
      </c>
      <c r="M417" s="7">
        <f>InputData[[#This Row],[SELLING PRICE]]*InputData[[#This Row],[QUANTITY]]*(1-InputData[[#This Row],[DISCOUNT %]])</f>
        <v>470.85</v>
      </c>
      <c r="N417">
        <f>DAY(InputData[[#This Row],[DATE]])</f>
        <v>3</v>
      </c>
      <c r="O417" t="str">
        <f>TEXT(InputData[[#This Row],[DATE]],"mmm")</f>
        <v>Aug</v>
      </c>
      <c r="P417">
        <f>YEAR(InputData[[#This Row],[DATE]])</f>
        <v>2022</v>
      </c>
    </row>
    <row r="418" spans="1:16" x14ac:dyDescent="0.3">
      <c r="A418" s="3">
        <v>44779</v>
      </c>
      <c r="B418" s="4" t="s">
        <v>39</v>
      </c>
      <c r="C418" s="5">
        <v>9</v>
      </c>
      <c r="D418" s="5" t="s">
        <v>106</v>
      </c>
      <c r="E418" s="5" t="s">
        <v>106</v>
      </c>
      <c r="F418" s="6">
        <v>0</v>
      </c>
      <c r="G418" t="str">
        <f>VLOOKUP(InputData[[#This Row],[PRODUCT ID]],MasterData[],2,)</f>
        <v>Product16</v>
      </c>
      <c r="H418" t="str">
        <f>VLOOKUP(InputData[[#This Row],[PRODUCT ID]],MasterData[],3,)</f>
        <v>Category02</v>
      </c>
      <c r="I418" t="str">
        <f>VLOOKUP(InputData[[#This Row],[PRODUCT ID]],MasterData[],4,)</f>
        <v>No.</v>
      </c>
      <c r="J418" s="7">
        <f>VLOOKUP(InputData[[#This Row],[PRODUCT ID]],MasterData[],5,)</f>
        <v>13</v>
      </c>
      <c r="K418" s="7">
        <f>VLOOKUP(InputData[[#This Row],[PRODUCT ID]],MasterData[],6,)</f>
        <v>16.64</v>
      </c>
      <c r="L418" s="7">
        <f>InputData[[#This Row],[BUYING PRIZE]]*InputData[[#This Row],[QUANTITY]]</f>
        <v>117</v>
      </c>
      <c r="M418" s="7">
        <f>InputData[[#This Row],[SELLING PRICE]]*InputData[[#This Row],[QUANTITY]]*(1-InputData[[#This Row],[DISCOUNT %]])</f>
        <v>149.76</v>
      </c>
      <c r="N418">
        <f>DAY(InputData[[#This Row],[DATE]])</f>
        <v>6</v>
      </c>
      <c r="O418" t="str">
        <f>TEXT(InputData[[#This Row],[DATE]],"mmm")</f>
        <v>Aug</v>
      </c>
      <c r="P418">
        <f>YEAR(InputData[[#This Row],[DATE]])</f>
        <v>2022</v>
      </c>
    </row>
    <row r="419" spans="1:16" x14ac:dyDescent="0.3">
      <c r="A419" s="3">
        <v>44781</v>
      </c>
      <c r="B419" s="4" t="s">
        <v>39</v>
      </c>
      <c r="C419" s="5">
        <v>2</v>
      </c>
      <c r="D419" s="5" t="s">
        <v>108</v>
      </c>
      <c r="E419" s="5" t="s">
        <v>106</v>
      </c>
      <c r="F419" s="6">
        <v>0</v>
      </c>
      <c r="G419" t="str">
        <f>VLOOKUP(InputData[[#This Row],[PRODUCT ID]],MasterData[],2,)</f>
        <v>Product16</v>
      </c>
      <c r="H419" t="str">
        <f>VLOOKUP(InputData[[#This Row],[PRODUCT ID]],MasterData[],3,)</f>
        <v>Category02</v>
      </c>
      <c r="I419" t="str">
        <f>VLOOKUP(InputData[[#This Row],[PRODUCT ID]],MasterData[],4,)</f>
        <v>No.</v>
      </c>
      <c r="J419" s="7">
        <f>VLOOKUP(InputData[[#This Row],[PRODUCT ID]],MasterData[],5,)</f>
        <v>13</v>
      </c>
      <c r="K419" s="7">
        <f>VLOOKUP(InputData[[#This Row],[PRODUCT ID]],MasterData[],6,)</f>
        <v>16.64</v>
      </c>
      <c r="L419" s="7">
        <f>InputData[[#This Row],[BUYING PRIZE]]*InputData[[#This Row],[QUANTITY]]</f>
        <v>26</v>
      </c>
      <c r="M419" s="7">
        <f>InputData[[#This Row],[SELLING PRICE]]*InputData[[#This Row],[QUANTITY]]*(1-InputData[[#This Row],[DISCOUNT %]])</f>
        <v>33.28</v>
      </c>
      <c r="N419">
        <f>DAY(InputData[[#This Row],[DATE]])</f>
        <v>8</v>
      </c>
      <c r="O419" t="str">
        <f>TEXT(InputData[[#This Row],[DATE]],"mmm")</f>
        <v>Aug</v>
      </c>
      <c r="P419">
        <f>YEAR(InputData[[#This Row],[DATE]])</f>
        <v>2022</v>
      </c>
    </row>
    <row r="420" spans="1:16" x14ac:dyDescent="0.3">
      <c r="A420" s="3">
        <v>44781</v>
      </c>
      <c r="B420" s="4" t="s">
        <v>73</v>
      </c>
      <c r="C420" s="5">
        <v>12</v>
      </c>
      <c r="D420" s="5" t="s">
        <v>108</v>
      </c>
      <c r="E420" s="5" t="s">
        <v>107</v>
      </c>
      <c r="F420" s="6">
        <v>0</v>
      </c>
      <c r="G420" t="str">
        <f>VLOOKUP(InputData[[#This Row],[PRODUCT ID]],MasterData[],2,)</f>
        <v>Product32</v>
      </c>
      <c r="H420" t="str">
        <f>VLOOKUP(InputData[[#This Row],[PRODUCT ID]],MasterData[],3,)</f>
        <v>Category04</v>
      </c>
      <c r="I420" t="str">
        <f>VLOOKUP(InputData[[#This Row],[PRODUCT ID]],MasterData[],4,)</f>
        <v>Kg</v>
      </c>
      <c r="J420" s="7">
        <f>VLOOKUP(InputData[[#This Row],[PRODUCT ID]],MasterData[],5,)</f>
        <v>89</v>
      </c>
      <c r="K420" s="7">
        <f>VLOOKUP(InputData[[#This Row],[PRODUCT ID]],MasterData[],6,)</f>
        <v>117.48</v>
      </c>
      <c r="L420" s="7">
        <f>InputData[[#This Row],[BUYING PRIZE]]*InputData[[#This Row],[QUANTITY]]</f>
        <v>1068</v>
      </c>
      <c r="M420" s="7">
        <f>InputData[[#This Row],[SELLING PRICE]]*InputData[[#This Row],[QUANTITY]]*(1-InputData[[#This Row],[DISCOUNT %]])</f>
        <v>1409.76</v>
      </c>
      <c r="N420">
        <f>DAY(InputData[[#This Row],[DATE]])</f>
        <v>8</v>
      </c>
      <c r="O420" t="str">
        <f>TEXT(InputData[[#This Row],[DATE]],"mmm")</f>
        <v>Aug</v>
      </c>
      <c r="P420">
        <f>YEAR(InputData[[#This Row],[DATE]])</f>
        <v>2022</v>
      </c>
    </row>
    <row r="421" spans="1:16" x14ac:dyDescent="0.3">
      <c r="A421" s="3">
        <v>44781</v>
      </c>
      <c r="B421" s="4" t="s">
        <v>50</v>
      </c>
      <c r="C421" s="5">
        <v>11</v>
      </c>
      <c r="D421" s="5" t="s">
        <v>108</v>
      </c>
      <c r="E421" s="5" t="s">
        <v>107</v>
      </c>
      <c r="F421" s="6">
        <v>0</v>
      </c>
      <c r="G421" t="str">
        <f>VLOOKUP(InputData[[#This Row],[PRODUCT ID]],MasterData[],2,)</f>
        <v>Product21</v>
      </c>
      <c r="H421" t="str">
        <f>VLOOKUP(InputData[[#This Row],[PRODUCT ID]],MasterData[],3,)</f>
        <v>Category03</v>
      </c>
      <c r="I421" t="str">
        <f>VLOOKUP(InputData[[#This Row],[PRODUCT ID]],MasterData[],4,)</f>
        <v>Ft</v>
      </c>
      <c r="J421" s="7">
        <f>VLOOKUP(InputData[[#This Row],[PRODUCT ID]],MasterData[],5,)</f>
        <v>126</v>
      </c>
      <c r="K421" s="7">
        <f>VLOOKUP(InputData[[#This Row],[PRODUCT ID]],MasterData[],6,)</f>
        <v>162.54</v>
      </c>
      <c r="L421" s="7">
        <f>InputData[[#This Row],[BUYING PRIZE]]*InputData[[#This Row],[QUANTITY]]</f>
        <v>1386</v>
      </c>
      <c r="M421" s="7">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3">
      <c r="A422" s="3">
        <v>44787</v>
      </c>
      <c r="B422" s="4" t="s">
        <v>69</v>
      </c>
      <c r="C422" s="5">
        <v>14</v>
      </c>
      <c r="D422" s="5" t="s">
        <v>108</v>
      </c>
      <c r="E422" s="5" t="s">
        <v>107</v>
      </c>
      <c r="F422" s="6">
        <v>0</v>
      </c>
      <c r="G422" t="str">
        <f>VLOOKUP(InputData[[#This Row],[PRODUCT ID]],MasterData[],2,)</f>
        <v>Product30</v>
      </c>
      <c r="H422" t="str">
        <f>VLOOKUP(InputData[[#This Row],[PRODUCT ID]],MasterData[],3,)</f>
        <v>Category04</v>
      </c>
      <c r="I422" t="str">
        <f>VLOOKUP(InputData[[#This Row],[PRODUCT ID]],MasterData[],4,)</f>
        <v>Ft</v>
      </c>
      <c r="J422" s="7">
        <f>VLOOKUP(InputData[[#This Row],[PRODUCT ID]],MasterData[],5,)</f>
        <v>148</v>
      </c>
      <c r="K422" s="7">
        <f>VLOOKUP(InputData[[#This Row],[PRODUCT ID]],MasterData[],6,)</f>
        <v>201.28</v>
      </c>
      <c r="L422" s="7">
        <f>InputData[[#This Row],[BUYING PRIZE]]*InputData[[#This Row],[QUANTITY]]</f>
        <v>2072</v>
      </c>
      <c r="M422" s="7">
        <f>InputData[[#This Row],[SELLING PRICE]]*InputData[[#This Row],[QUANTITY]]*(1-InputData[[#This Row],[DISCOUNT %]])</f>
        <v>2817.92</v>
      </c>
      <c r="N422">
        <f>DAY(InputData[[#This Row],[DATE]])</f>
        <v>14</v>
      </c>
      <c r="O422" t="str">
        <f>TEXT(InputData[[#This Row],[DATE]],"mmm")</f>
        <v>Aug</v>
      </c>
      <c r="P422">
        <f>YEAR(InputData[[#This Row],[DATE]])</f>
        <v>2022</v>
      </c>
    </row>
    <row r="423" spans="1:16" x14ac:dyDescent="0.3">
      <c r="A423" s="3">
        <v>44788</v>
      </c>
      <c r="B423" s="4" t="s">
        <v>29</v>
      </c>
      <c r="C423" s="5">
        <v>10</v>
      </c>
      <c r="D423" s="5" t="s">
        <v>105</v>
      </c>
      <c r="E423" s="5" t="s">
        <v>107</v>
      </c>
      <c r="F423" s="6">
        <v>0</v>
      </c>
      <c r="G423" t="str">
        <f>VLOOKUP(InputData[[#This Row],[PRODUCT ID]],MasterData[],2,)</f>
        <v>Product11</v>
      </c>
      <c r="H423" t="str">
        <f>VLOOKUP(InputData[[#This Row],[PRODUCT ID]],MasterData[],3,)</f>
        <v>Category02</v>
      </c>
      <c r="I423" t="str">
        <f>VLOOKUP(InputData[[#This Row],[PRODUCT ID]],MasterData[],4,)</f>
        <v>Lt</v>
      </c>
      <c r="J423" s="7">
        <f>VLOOKUP(InputData[[#This Row],[PRODUCT ID]],MasterData[],5,)</f>
        <v>44</v>
      </c>
      <c r="K423" s="7">
        <f>VLOOKUP(InputData[[#This Row],[PRODUCT ID]],MasterData[],6,)</f>
        <v>48.4</v>
      </c>
      <c r="L423" s="7">
        <f>InputData[[#This Row],[BUYING PRIZE]]*InputData[[#This Row],[QUANTITY]]</f>
        <v>440</v>
      </c>
      <c r="M423" s="7">
        <f>InputData[[#This Row],[SELLING PRICE]]*InputData[[#This Row],[QUANTITY]]*(1-InputData[[#This Row],[DISCOUNT %]])</f>
        <v>484</v>
      </c>
      <c r="N423">
        <f>DAY(InputData[[#This Row],[DATE]])</f>
        <v>15</v>
      </c>
      <c r="O423" t="str">
        <f>TEXT(InputData[[#This Row],[DATE]],"mmm")</f>
        <v>Aug</v>
      </c>
      <c r="P423">
        <f>YEAR(InputData[[#This Row],[DATE]])</f>
        <v>2022</v>
      </c>
    </row>
    <row r="424" spans="1:16" x14ac:dyDescent="0.3">
      <c r="A424" s="3">
        <v>44788</v>
      </c>
      <c r="B424" s="4" t="s">
        <v>37</v>
      </c>
      <c r="C424" s="5">
        <v>7</v>
      </c>
      <c r="D424" s="5" t="s">
        <v>108</v>
      </c>
      <c r="E424" s="5" t="s">
        <v>106</v>
      </c>
      <c r="F424" s="6">
        <v>0</v>
      </c>
      <c r="G424" t="str">
        <f>VLOOKUP(InputData[[#This Row],[PRODUCT ID]],MasterData[],2,)</f>
        <v>Product15</v>
      </c>
      <c r="H424" t="str">
        <f>VLOOKUP(InputData[[#This Row],[PRODUCT ID]],MasterData[],3,)</f>
        <v>Category02</v>
      </c>
      <c r="I424" t="str">
        <f>VLOOKUP(InputData[[#This Row],[PRODUCT ID]],MasterData[],4,)</f>
        <v>No.</v>
      </c>
      <c r="J424" s="7">
        <f>VLOOKUP(InputData[[#This Row],[PRODUCT ID]],MasterData[],5,)</f>
        <v>12</v>
      </c>
      <c r="K424" s="7">
        <f>VLOOKUP(InputData[[#This Row],[PRODUCT ID]],MasterData[],6,)</f>
        <v>15.719999999999999</v>
      </c>
      <c r="L424" s="7">
        <f>InputData[[#This Row],[BUYING PRIZE]]*InputData[[#This Row],[QUANTITY]]</f>
        <v>84</v>
      </c>
      <c r="M424" s="7">
        <f>InputData[[#This Row],[SELLING PRICE]]*InputData[[#This Row],[QUANTITY]]*(1-InputData[[#This Row],[DISCOUNT %]])</f>
        <v>110.03999999999999</v>
      </c>
      <c r="N424">
        <f>DAY(InputData[[#This Row],[DATE]])</f>
        <v>15</v>
      </c>
      <c r="O424" t="str">
        <f>TEXT(InputData[[#This Row],[DATE]],"mmm")</f>
        <v>Aug</v>
      </c>
      <c r="P424">
        <f>YEAR(InputData[[#This Row],[DATE]])</f>
        <v>2022</v>
      </c>
    </row>
    <row r="425" spans="1:16" x14ac:dyDescent="0.3">
      <c r="A425" s="3">
        <v>44791</v>
      </c>
      <c r="B425" s="4" t="s">
        <v>67</v>
      </c>
      <c r="C425" s="5">
        <v>8</v>
      </c>
      <c r="D425" s="5" t="s">
        <v>106</v>
      </c>
      <c r="E425" s="5" t="s">
        <v>106</v>
      </c>
      <c r="F425" s="6">
        <v>0</v>
      </c>
      <c r="G425" t="str">
        <f>VLOOKUP(InputData[[#This Row],[PRODUCT ID]],MasterData[],2,)</f>
        <v>Product29</v>
      </c>
      <c r="H425" t="str">
        <f>VLOOKUP(InputData[[#This Row],[PRODUCT ID]],MasterData[],3,)</f>
        <v>Category04</v>
      </c>
      <c r="I425" t="str">
        <f>VLOOKUP(InputData[[#This Row],[PRODUCT ID]],MasterData[],4,)</f>
        <v>Lt</v>
      </c>
      <c r="J425" s="7">
        <f>VLOOKUP(InputData[[#This Row],[PRODUCT ID]],MasterData[],5,)</f>
        <v>47</v>
      </c>
      <c r="K425" s="7">
        <f>VLOOKUP(InputData[[#This Row],[PRODUCT ID]],MasterData[],6,)</f>
        <v>53.11</v>
      </c>
      <c r="L425" s="7">
        <f>InputData[[#This Row],[BUYING PRIZE]]*InputData[[#This Row],[QUANTITY]]</f>
        <v>376</v>
      </c>
      <c r="M425" s="7">
        <f>InputData[[#This Row],[SELLING PRICE]]*InputData[[#This Row],[QUANTITY]]*(1-InputData[[#This Row],[DISCOUNT %]])</f>
        <v>424.88</v>
      </c>
      <c r="N425">
        <f>DAY(InputData[[#This Row],[DATE]])</f>
        <v>18</v>
      </c>
      <c r="O425" t="str">
        <f>TEXT(InputData[[#This Row],[DATE]],"mmm")</f>
        <v>Aug</v>
      </c>
      <c r="P425">
        <f>YEAR(InputData[[#This Row],[DATE]])</f>
        <v>2022</v>
      </c>
    </row>
    <row r="426" spans="1:16" x14ac:dyDescent="0.3">
      <c r="A426" s="3">
        <v>44791</v>
      </c>
      <c r="B426" s="4" t="s">
        <v>26</v>
      </c>
      <c r="C426" s="5">
        <v>2</v>
      </c>
      <c r="D426" s="5" t="s">
        <v>106</v>
      </c>
      <c r="E426" s="5" t="s">
        <v>107</v>
      </c>
      <c r="F426" s="6">
        <v>0</v>
      </c>
      <c r="G426" t="str">
        <f>VLOOKUP(InputData[[#This Row],[PRODUCT ID]],MasterData[],2,)</f>
        <v>Product10</v>
      </c>
      <c r="H426" t="str">
        <f>VLOOKUP(InputData[[#This Row],[PRODUCT ID]],MasterData[],3,)</f>
        <v>Category02</v>
      </c>
      <c r="I426" t="str">
        <f>VLOOKUP(InputData[[#This Row],[PRODUCT ID]],MasterData[],4,)</f>
        <v>Ft</v>
      </c>
      <c r="J426" s="7">
        <f>VLOOKUP(InputData[[#This Row],[PRODUCT ID]],MasterData[],5,)</f>
        <v>148</v>
      </c>
      <c r="K426" s="7">
        <f>VLOOKUP(InputData[[#This Row],[PRODUCT ID]],MasterData[],6,)</f>
        <v>164.28</v>
      </c>
      <c r="L426" s="7">
        <f>InputData[[#This Row],[BUYING PRIZE]]*InputData[[#This Row],[QUANTITY]]</f>
        <v>296</v>
      </c>
      <c r="M426" s="7">
        <f>InputData[[#This Row],[SELLING PRICE]]*InputData[[#This Row],[QUANTITY]]*(1-InputData[[#This Row],[DISCOUNT %]])</f>
        <v>328.56</v>
      </c>
      <c r="N426">
        <f>DAY(InputData[[#This Row],[DATE]])</f>
        <v>18</v>
      </c>
      <c r="O426" t="str">
        <f>TEXT(InputData[[#This Row],[DATE]],"mmm")</f>
        <v>Aug</v>
      </c>
      <c r="P426">
        <f>YEAR(InputData[[#This Row],[DATE]])</f>
        <v>2022</v>
      </c>
    </row>
    <row r="427" spans="1:16" x14ac:dyDescent="0.3">
      <c r="A427" s="3">
        <v>44792</v>
      </c>
      <c r="B427" s="4" t="s">
        <v>20</v>
      </c>
      <c r="C427" s="5">
        <v>3</v>
      </c>
      <c r="D427" s="5" t="s">
        <v>106</v>
      </c>
      <c r="E427" s="5" t="s">
        <v>106</v>
      </c>
      <c r="F427" s="6">
        <v>0</v>
      </c>
      <c r="G427" t="str">
        <f>VLOOKUP(InputData[[#This Row],[PRODUCT ID]],MasterData[],2,)</f>
        <v>Product07</v>
      </c>
      <c r="H427" t="str">
        <f>VLOOKUP(InputData[[#This Row],[PRODUCT ID]],MasterData[],3,)</f>
        <v>Category01</v>
      </c>
      <c r="I427" t="str">
        <f>VLOOKUP(InputData[[#This Row],[PRODUCT ID]],MasterData[],4,)</f>
        <v>Lt</v>
      </c>
      <c r="J427" s="7">
        <f>VLOOKUP(InputData[[#This Row],[PRODUCT ID]],MasterData[],5,)</f>
        <v>43</v>
      </c>
      <c r="K427" s="7">
        <f>VLOOKUP(InputData[[#This Row],[PRODUCT ID]],MasterData[],6,)</f>
        <v>47.730000000000004</v>
      </c>
      <c r="L427" s="7">
        <f>InputData[[#This Row],[BUYING PRIZE]]*InputData[[#This Row],[QUANTITY]]</f>
        <v>129</v>
      </c>
      <c r="M427" s="7">
        <f>InputData[[#This Row],[SELLING PRICE]]*InputData[[#This Row],[QUANTITY]]*(1-InputData[[#This Row],[DISCOUNT %]])</f>
        <v>143.19</v>
      </c>
      <c r="N427">
        <f>DAY(InputData[[#This Row],[DATE]])</f>
        <v>19</v>
      </c>
      <c r="O427" t="str">
        <f>TEXT(InputData[[#This Row],[DATE]],"mmm")</f>
        <v>Aug</v>
      </c>
      <c r="P427">
        <f>YEAR(InputData[[#This Row],[DATE]])</f>
        <v>2022</v>
      </c>
    </row>
    <row r="428" spans="1:16" x14ac:dyDescent="0.3">
      <c r="A428" s="3">
        <v>44793</v>
      </c>
      <c r="B428" s="4" t="s">
        <v>54</v>
      </c>
      <c r="C428" s="5">
        <v>13</v>
      </c>
      <c r="D428" s="5" t="s">
        <v>108</v>
      </c>
      <c r="E428" s="5" t="s">
        <v>106</v>
      </c>
      <c r="F428" s="6">
        <v>0</v>
      </c>
      <c r="G428" t="str">
        <f>VLOOKUP(InputData[[#This Row],[PRODUCT ID]],MasterData[],2,)</f>
        <v>Product23</v>
      </c>
      <c r="H428" t="str">
        <f>VLOOKUP(InputData[[#This Row],[PRODUCT ID]],MasterData[],3,)</f>
        <v>Category03</v>
      </c>
      <c r="I428" t="str">
        <f>VLOOKUP(InputData[[#This Row],[PRODUCT ID]],MasterData[],4,)</f>
        <v>Ft</v>
      </c>
      <c r="J428" s="7">
        <f>VLOOKUP(InputData[[#This Row],[PRODUCT ID]],MasterData[],5,)</f>
        <v>141</v>
      </c>
      <c r="K428" s="7">
        <f>VLOOKUP(InputData[[#This Row],[PRODUCT ID]],MasterData[],6,)</f>
        <v>149.46</v>
      </c>
      <c r="L428" s="7">
        <f>InputData[[#This Row],[BUYING PRIZE]]*InputData[[#This Row],[QUANTITY]]</f>
        <v>1833</v>
      </c>
      <c r="M428" s="7">
        <f>InputData[[#This Row],[SELLING PRICE]]*InputData[[#This Row],[QUANTITY]]*(1-InputData[[#This Row],[DISCOUNT %]])</f>
        <v>1942.98</v>
      </c>
      <c r="N428">
        <f>DAY(InputData[[#This Row],[DATE]])</f>
        <v>20</v>
      </c>
      <c r="O428" t="str">
        <f>TEXT(InputData[[#This Row],[DATE]],"mmm")</f>
        <v>Aug</v>
      </c>
      <c r="P428">
        <f>YEAR(InputData[[#This Row],[DATE]])</f>
        <v>2022</v>
      </c>
    </row>
    <row r="429" spans="1:16" x14ac:dyDescent="0.3">
      <c r="A429" s="3">
        <v>44793</v>
      </c>
      <c r="B429" s="4" t="s">
        <v>75</v>
      </c>
      <c r="C429" s="5">
        <v>14</v>
      </c>
      <c r="D429" s="5" t="s">
        <v>108</v>
      </c>
      <c r="E429" s="5" t="s">
        <v>106</v>
      </c>
      <c r="F429" s="6">
        <v>0</v>
      </c>
      <c r="G429" t="str">
        <f>VLOOKUP(InputData[[#This Row],[PRODUCT ID]],MasterData[],2,)</f>
        <v>Product33</v>
      </c>
      <c r="H429" t="str">
        <f>VLOOKUP(InputData[[#This Row],[PRODUCT ID]],MasterData[],3,)</f>
        <v>Category04</v>
      </c>
      <c r="I429" t="str">
        <f>VLOOKUP(InputData[[#This Row],[PRODUCT ID]],MasterData[],4,)</f>
        <v>Kg</v>
      </c>
      <c r="J429" s="7">
        <f>VLOOKUP(InputData[[#This Row],[PRODUCT ID]],MasterData[],5,)</f>
        <v>95</v>
      </c>
      <c r="K429" s="7">
        <f>VLOOKUP(InputData[[#This Row],[PRODUCT ID]],MasterData[],6,)</f>
        <v>119.7</v>
      </c>
      <c r="L429" s="7">
        <f>InputData[[#This Row],[BUYING PRIZE]]*InputData[[#This Row],[QUANTITY]]</f>
        <v>1330</v>
      </c>
      <c r="M429" s="7">
        <f>InputData[[#This Row],[SELLING PRICE]]*InputData[[#This Row],[QUANTITY]]*(1-InputData[[#This Row],[DISCOUNT %]])</f>
        <v>1675.8</v>
      </c>
      <c r="N429">
        <f>DAY(InputData[[#This Row],[DATE]])</f>
        <v>20</v>
      </c>
      <c r="O429" t="str">
        <f>TEXT(InputData[[#This Row],[DATE]],"mmm")</f>
        <v>Aug</v>
      </c>
      <c r="P429">
        <f>YEAR(InputData[[#This Row],[DATE]])</f>
        <v>2022</v>
      </c>
    </row>
    <row r="430" spans="1:16" x14ac:dyDescent="0.3">
      <c r="A430" s="3">
        <v>44794</v>
      </c>
      <c r="B430" s="4" t="s">
        <v>39</v>
      </c>
      <c r="C430" s="5">
        <v>4</v>
      </c>
      <c r="D430" s="5" t="s">
        <v>108</v>
      </c>
      <c r="E430" s="5" t="s">
        <v>106</v>
      </c>
      <c r="F430" s="6">
        <v>0</v>
      </c>
      <c r="G430" t="str">
        <f>VLOOKUP(InputData[[#This Row],[PRODUCT ID]],MasterData[],2,)</f>
        <v>Product16</v>
      </c>
      <c r="H430" t="str">
        <f>VLOOKUP(InputData[[#This Row],[PRODUCT ID]],MasterData[],3,)</f>
        <v>Category02</v>
      </c>
      <c r="I430" t="str">
        <f>VLOOKUP(InputData[[#This Row],[PRODUCT ID]],MasterData[],4,)</f>
        <v>No.</v>
      </c>
      <c r="J430" s="7">
        <f>VLOOKUP(InputData[[#This Row],[PRODUCT ID]],MasterData[],5,)</f>
        <v>13</v>
      </c>
      <c r="K430" s="7">
        <f>VLOOKUP(InputData[[#This Row],[PRODUCT ID]],MasterData[],6,)</f>
        <v>16.64</v>
      </c>
      <c r="L430" s="7">
        <f>InputData[[#This Row],[BUYING PRIZE]]*InputData[[#This Row],[QUANTITY]]</f>
        <v>52</v>
      </c>
      <c r="M430" s="7">
        <f>InputData[[#This Row],[SELLING PRICE]]*InputData[[#This Row],[QUANTITY]]*(1-InputData[[#This Row],[DISCOUNT %]])</f>
        <v>66.56</v>
      </c>
      <c r="N430">
        <f>DAY(InputData[[#This Row],[DATE]])</f>
        <v>21</v>
      </c>
      <c r="O430" t="str">
        <f>TEXT(InputData[[#This Row],[DATE]],"mmm")</f>
        <v>Aug</v>
      </c>
      <c r="P430">
        <f>YEAR(InputData[[#This Row],[DATE]])</f>
        <v>2022</v>
      </c>
    </row>
    <row r="431" spans="1:16" x14ac:dyDescent="0.3">
      <c r="A431" s="3">
        <v>44796</v>
      </c>
      <c r="B431" s="4" t="s">
        <v>98</v>
      </c>
      <c r="C431" s="5">
        <v>11</v>
      </c>
      <c r="D431" s="5" t="s">
        <v>106</v>
      </c>
      <c r="E431" s="5" t="s">
        <v>106</v>
      </c>
      <c r="F431" s="6">
        <v>0</v>
      </c>
      <c r="G431" t="str">
        <f>VLOOKUP(InputData[[#This Row],[PRODUCT ID]],MasterData[],2,)</f>
        <v>Product44</v>
      </c>
      <c r="H431" t="str">
        <f>VLOOKUP(InputData[[#This Row],[PRODUCT ID]],MasterData[],3,)</f>
        <v>Category05</v>
      </c>
      <c r="I431" t="str">
        <f>VLOOKUP(InputData[[#This Row],[PRODUCT ID]],MasterData[],4,)</f>
        <v>Kg</v>
      </c>
      <c r="J431" s="7">
        <f>VLOOKUP(InputData[[#This Row],[PRODUCT ID]],MasterData[],5,)</f>
        <v>76</v>
      </c>
      <c r="K431" s="7">
        <f>VLOOKUP(InputData[[#This Row],[PRODUCT ID]],MasterData[],6,)</f>
        <v>82.08</v>
      </c>
      <c r="L431" s="7">
        <f>InputData[[#This Row],[BUYING PRIZE]]*InputData[[#This Row],[QUANTITY]]</f>
        <v>836</v>
      </c>
      <c r="M431" s="7">
        <f>InputData[[#This Row],[SELLING PRICE]]*InputData[[#This Row],[QUANTITY]]*(1-InputData[[#This Row],[DISCOUNT %]])</f>
        <v>902.88</v>
      </c>
      <c r="N431">
        <f>DAY(InputData[[#This Row],[DATE]])</f>
        <v>23</v>
      </c>
      <c r="O431" t="str">
        <f>TEXT(InputData[[#This Row],[DATE]],"mmm")</f>
        <v>Aug</v>
      </c>
      <c r="P431">
        <f>YEAR(InputData[[#This Row],[DATE]])</f>
        <v>2022</v>
      </c>
    </row>
    <row r="432" spans="1:16" x14ac:dyDescent="0.3">
      <c r="A432" s="3">
        <v>44796</v>
      </c>
      <c r="B432" s="4" t="s">
        <v>67</v>
      </c>
      <c r="C432" s="5">
        <v>14</v>
      </c>
      <c r="D432" s="5" t="s">
        <v>108</v>
      </c>
      <c r="E432" s="5" t="s">
        <v>107</v>
      </c>
      <c r="F432" s="6">
        <v>0</v>
      </c>
      <c r="G432" t="str">
        <f>VLOOKUP(InputData[[#This Row],[PRODUCT ID]],MasterData[],2,)</f>
        <v>Product29</v>
      </c>
      <c r="H432" t="str">
        <f>VLOOKUP(InputData[[#This Row],[PRODUCT ID]],MasterData[],3,)</f>
        <v>Category04</v>
      </c>
      <c r="I432" t="str">
        <f>VLOOKUP(InputData[[#This Row],[PRODUCT ID]],MasterData[],4,)</f>
        <v>Lt</v>
      </c>
      <c r="J432" s="7">
        <f>VLOOKUP(InputData[[#This Row],[PRODUCT ID]],MasterData[],5,)</f>
        <v>47</v>
      </c>
      <c r="K432" s="7">
        <f>VLOOKUP(InputData[[#This Row],[PRODUCT ID]],MasterData[],6,)</f>
        <v>53.11</v>
      </c>
      <c r="L432" s="7">
        <f>InputData[[#This Row],[BUYING PRIZE]]*InputData[[#This Row],[QUANTITY]]</f>
        <v>658</v>
      </c>
      <c r="M432" s="7">
        <f>InputData[[#This Row],[SELLING PRICE]]*InputData[[#This Row],[QUANTITY]]*(1-InputData[[#This Row],[DISCOUNT %]])</f>
        <v>743.54</v>
      </c>
      <c r="N432">
        <f>DAY(InputData[[#This Row],[DATE]])</f>
        <v>23</v>
      </c>
      <c r="O432" t="str">
        <f>TEXT(InputData[[#This Row],[DATE]],"mmm")</f>
        <v>Aug</v>
      </c>
      <c r="P432">
        <f>YEAR(InputData[[#This Row],[DATE]])</f>
        <v>2022</v>
      </c>
    </row>
    <row r="433" spans="1:16" x14ac:dyDescent="0.3">
      <c r="A433" s="3">
        <v>44797</v>
      </c>
      <c r="B433" s="4" t="s">
        <v>16</v>
      </c>
      <c r="C433" s="5">
        <v>5</v>
      </c>
      <c r="D433" s="5" t="s">
        <v>108</v>
      </c>
      <c r="E433" s="5" t="s">
        <v>107</v>
      </c>
      <c r="F433" s="6">
        <v>0</v>
      </c>
      <c r="G433" t="str">
        <f>VLOOKUP(InputData[[#This Row],[PRODUCT ID]],MasterData[],2,)</f>
        <v>Product05</v>
      </c>
      <c r="H433" t="str">
        <f>VLOOKUP(InputData[[#This Row],[PRODUCT ID]],MasterData[],3,)</f>
        <v>Category01</v>
      </c>
      <c r="I433" t="str">
        <f>VLOOKUP(InputData[[#This Row],[PRODUCT ID]],MasterData[],4,)</f>
        <v>Ft</v>
      </c>
      <c r="J433" s="7">
        <f>VLOOKUP(InputData[[#This Row],[PRODUCT ID]],MasterData[],5,)</f>
        <v>133</v>
      </c>
      <c r="K433" s="7">
        <f>VLOOKUP(InputData[[#This Row],[PRODUCT ID]],MasterData[],6,)</f>
        <v>155.61000000000001</v>
      </c>
      <c r="L433" s="7">
        <f>InputData[[#This Row],[BUYING PRIZE]]*InputData[[#This Row],[QUANTITY]]</f>
        <v>665</v>
      </c>
      <c r="M433" s="7">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3">
      <c r="A434" s="3">
        <v>44799</v>
      </c>
      <c r="B434" s="4" t="s">
        <v>45</v>
      </c>
      <c r="C434" s="5">
        <v>13</v>
      </c>
      <c r="D434" s="5" t="s">
        <v>105</v>
      </c>
      <c r="E434" s="5" t="s">
        <v>107</v>
      </c>
      <c r="F434" s="6">
        <v>0</v>
      </c>
      <c r="G434" t="str">
        <f>VLOOKUP(InputData[[#This Row],[PRODUCT ID]],MasterData[],2,)</f>
        <v>Product19</v>
      </c>
      <c r="H434" t="str">
        <f>VLOOKUP(InputData[[#This Row],[PRODUCT ID]],MasterData[],3,)</f>
        <v>Category02</v>
      </c>
      <c r="I434" t="str">
        <f>VLOOKUP(InputData[[#This Row],[PRODUCT ID]],MasterData[],4,)</f>
        <v>Ft</v>
      </c>
      <c r="J434" s="7">
        <f>VLOOKUP(InputData[[#This Row],[PRODUCT ID]],MasterData[],5,)</f>
        <v>150</v>
      </c>
      <c r="K434" s="7">
        <f>VLOOKUP(InputData[[#This Row],[PRODUCT ID]],MasterData[],6,)</f>
        <v>210</v>
      </c>
      <c r="L434" s="7">
        <f>InputData[[#This Row],[BUYING PRIZE]]*InputData[[#This Row],[QUANTITY]]</f>
        <v>1950</v>
      </c>
      <c r="M434" s="7">
        <f>InputData[[#This Row],[SELLING PRICE]]*InputData[[#This Row],[QUANTITY]]*(1-InputData[[#This Row],[DISCOUNT %]])</f>
        <v>2730</v>
      </c>
      <c r="N434">
        <f>DAY(InputData[[#This Row],[DATE]])</f>
        <v>26</v>
      </c>
      <c r="O434" t="str">
        <f>TEXT(InputData[[#This Row],[DATE]],"mmm")</f>
        <v>Aug</v>
      </c>
      <c r="P434">
        <f>YEAR(InputData[[#This Row],[DATE]])</f>
        <v>2022</v>
      </c>
    </row>
    <row r="435" spans="1:16" x14ac:dyDescent="0.3">
      <c r="A435" s="3">
        <v>44799</v>
      </c>
      <c r="B435" s="4" t="s">
        <v>83</v>
      </c>
      <c r="C435" s="5">
        <v>8</v>
      </c>
      <c r="D435" s="5" t="s">
        <v>106</v>
      </c>
      <c r="E435" s="5" t="s">
        <v>106</v>
      </c>
      <c r="F435" s="6">
        <v>0</v>
      </c>
      <c r="G435" t="str">
        <f>VLOOKUP(InputData[[#This Row],[PRODUCT ID]],MasterData[],2,)</f>
        <v>Product37</v>
      </c>
      <c r="H435" t="str">
        <f>VLOOKUP(InputData[[#This Row],[PRODUCT ID]],MasterData[],3,)</f>
        <v>Category05</v>
      </c>
      <c r="I435" t="str">
        <f>VLOOKUP(InputData[[#This Row],[PRODUCT ID]],MasterData[],4,)</f>
        <v>Kg</v>
      </c>
      <c r="J435" s="7">
        <f>VLOOKUP(InputData[[#This Row],[PRODUCT ID]],MasterData[],5,)</f>
        <v>67</v>
      </c>
      <c r="K435" s="7">
        <f>VLOOKUP(InputData[[#This Row],[PRODUCT ID]],MasterData[],6,)</f>
        <v>85.76</v>
      </c>
      <c r="L435" s="7">
        <f>InputData[[#This Row],[BUYING PRIZE]]*InputData[[#This Row],[QUANTITY]]</f>
        <v>536</v>
      </c>
      <c r="M435" s="7">
        <f>InputData[[#This Row],[SELLING PRICE]]*InputData[[#This Row],[QUANTITY]]*(1-InputData[[#This Row],[DISCOUNT %]])</f>
        <v>686.08</v>
      </c>
      <c r="N435">
        <f>DAY(InputData[[#This Row],[DATE]])</f>
        <v>26</v>
      </c>
      <c r="O435" t="str">
        <f>TEXT(InputData[[#This Row],[DATE]],"mmm")</f>
        <v>Aug</v>
      </c>
      <c r="P435">
        <f>YEAR(InputData[[#This Row],[DATE]])</f>
        <v>2022</v>
      </c>
    </row>
    <row r="436" spans="1:16" x14ac:dyDescent="0.3">
      <c r="A436" s="3">
        <v>44800</v>
      </c>
      <c r="B436" s="4" t="s">
        <v>88</v>
      </c>
      <c r="C436" s="5">
        <v>15</v>
      </c>
      <c r="D436" s="5" t="s">
        <v>105</v>
      </c>
      <c r="E436" s="5" t="s">
        <v>106</v>
      </c>
      <c r="F436" s="6">
        <v>0</v>
      </c>
      <c r="G436" t="str">
        <f>VLOOKUP(InputData[[#This Row],[PRODUCT ID]],MasterData[],2,)</f>
        <v>Product39</v>
      </c>
      <c r="H436" t="str">
        <f>VLOOKUP(InputData[[#This Row],[PRODUCT ID]],MasterData[],3,)</f>
        <v>Category05</v>
      </c>
      <c r="I436" t="str">
        <f>VLOOKUP(InputData[[#This Row],[PRODUCT ID]],MasterData[],4,)</f>
        <v>No.</v>
      </c>
      <c r="J436" s="7">
        <f>VLOOKUP(InputData[[#This Row],[PRODUCT ID]],MasterData[],5,)</f>
        <v>37</v>
      </c>
      <c r="K436" s="7">
        <f>VLOOKUP(InputData[[#This Row],[PRODUCT ID]],MasterData[],6,)</f>
        <v>42.55</v>
      </c>
      <c r="L436" s="7">
        <f>InputData[[#This Row],[BUYING PRIZE]]*InputData[[#This Row],[QUANTITY]]</f>
        <v>555</v>
      </c>
      <c r="M436" s="7">
        <f>InputData[[#This Row],[SELLING PRICE]]*InputData[[#This Row],[QUANTITY]]*(1-InputData[[#This Row],[DISCOUNT %]])</f>
        <v>638.25</v>
      </c>
      <c r="N436">
        <f>DAY(InputData[[#This Row],[DATE]])</f>
        <v>27</v>
      </c>
      <c r="O436" t="str">
        <f>TEXT(InputData[[#This Row],[DATE]],"mmm")</f>
        <v>Aug</v>
      </c>
      <c r="P436">
        <f>YEAR(InputData[[#This Row],[DATE]])</f>
        <v>2022</v>
      </c>
    </row>
    <row r="437" spans="1:16" x14ac:dyDescent="0.3">
      <c r="A437" s="3">
        <v>44801</v>
      </c>
      <c r="B437" s="4" t="s">
        <v>16</v>
      </c>
      <c r="C437" s="5">
        <v>9</v>
      </c>
      <c r="D437" s="5" t="s">
        <v>106</v>
      </c>
      <c r="E437" s="5" t="s">
        <v>106</v>
      </c>
      <c r="F437" s="6">
        <v>0</v>
      </c>
      <c r="G437" t="str">
        <f>VLOOKUP(InputData[[#This Row],[PRODUCT ID]],MasterData[],2,)</f>
        <v>Product05</v>
      </c>
      <c r="H437" t="str">
        <f>VLOOKUP(InputData[[#This Row],[PRODUCT ID]],MasterData[],3,)</f>
        <v>Category01</v>
      </c>
      <c r="I437" t="str">
        <f>VLOOKUP(InputData[[#This Row],[PRODUCT ID]],MasterData[],4,)</f>
        <v>Ft</v>
      </c>
      <c r="J437" s="7">
        <f>VLOOKUP(InputData[[#This Row],[PRODUCT ID]],MasterData[],5,)</f>
        <v>133</v>
      </c>
      <c r="K437" s="7">
        <f>VLOOKUP(InputData[[#This Row],[PRODUCT ID]],MasterData[],6,)</f>
        <v>155.61000000000001</v>
      </c>
      <c r="L437" s="7">
        <f>InputData[[#This Row],[BUYING PRIZE]]*InputData[[#This Row],[QUANTITY]]</f>
        <v>1197</v>
      </c>
      <c r="M437" s="7">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3">
      <c r="A438" s="3">
        <v>44801</v>
      </c>
      <c r="B438" s="4" t="s">
        <v>88</v>
      </c>
      <c r="C438" s="5">
        <v>5</v>
      </c>
      <c r="D438" s="5" t="s">
        <v>108</v>
      </c>
      <c r="E438" s="5" t="s">
        <v>106</v>
      </c>
      <c r="F438" s="6">
        <v>0</v>
      </c>
      <c r="G438" t="str">
        <f>VLOOKUP(InputData[[#This Row],[PRODUCT ID]],MasterData[],2,)</f>
        <v>Product39</v>
      </c>
      <c r="H438" t="str">
        <f>VLOOKUP(InputData[[#This Row],[PRODUCT ID]],MasterData[],3,)</f>
        <v>Category05</v>
      </c>
      <c r="I438" t="str">
        <f>VLOOKUP(InputData[[#This Row],[PRODUCT ID]],MasterData[],4,)</f>
        <v>No.</v>
      </c>
      <c r="J438" s="7">
        <f>VLOOKUP(InputData[[#This Row],[PRODUCT ID]],MasterData[],5,)</f>
        <v>37</v>
      </c>
      <c r="K438" s="7">
        <f>VLOOKUP(InputData[[#This Row],[PRODUCT ID]],MasterData[],6,)</f>
        <v>42.55</v>
      </c>
      <c r="L438" s="7">
        <f>InputData[[#This Row],[BUYING PRIZE]]*InputData[[#This Row],[QUANTITY]]</f>
        <v>185</v>
      </c>
      <c r="M438" s="7">
        <f>InputData[[#This Row],[SELLING PRICE]]*InputData[[#This Row],[QUANTITY]]*(1-InputData[[#This Row],[DISCOUNT %]])</f>
        <v>212.75</v>
      </c>
      <c r="N438">
        <f>DAY(InputData[[#This Row],[DATE]])</f>
        <v>28</v>
      </c>
      <c r="O438" t="str">
        <f>TEXT(InputData[[#This Row],[DATE]],"mmm")</f>
        <v>Aug</v>
      </c>
      <c r="P438">
        <f>YEAR(InputData[[#This Row],[DATE]])</f>
        <v>2022</v>
      </c>
    </row>
    <row r="439" spans="1:16" x14ac:dyDescent="0.3">
      <c r="A439" s="3">
        <v>44803</v>
      </c>
      <c r="B439" s="4" t="s">
        <v>18</v>
      </c>
      <c r="C439" s="5">
        <v>6</v>
      </c>
      <c r="D439" s="5" t="s">
        <v>106</v>
      </c>
      <c r="E439" s="5" t="s">
        <v>107</v>
      </c>
      <c r="F439" s="6">
        <v>0</v>
      </c>
      <c r="G439" t="str">
        <f>VLOOKUP(InputData[[#This Row],[PRODUCT ID]],MasterData[],2,)</f>
        <v>Product06</v>
      </c>
      <c r="H439" t="str">
        <f>VLOOKUP(InputData[[#This Row],[PRODUCT ID]],MasterData[],3,)</f>
        <v>Category01</v>
      </c>
      <c r="I439" t="str">
        <f>VLOOKUP(InputData[[#This Row],[PRODUCT ID]],MasterData[],4,)</f>
        <v>Kg</v>
      </c>
      <c r="J439" s="7">
        <f>VLOOKUP(InputData[[#This Row],[PRODUCT ID]],MasterData[],5,)</f>
        <v>75</v>
      </c>
      <c r="K439" s="7">
        <f>VLOOKUP(InputData[[#This Row],[PRODUCT ID]],MasterData[],6,)</f>
        <v>85.5</v>
      </c>
      <c r="L439" s="7">
        <f>InputData[[#This Row],[BUYING PRIZE]]*InputData[[#This Row],[QUANTITY]]</f>
        <v>450</v>
      </c>
      <c r="M439" s="7">
        <f>InputData[[#This Row],[SELLING PRICE]]*InputData[[#This Row],[QUANTITY]]*(1-InputData[[#This Row],[DISCOUNT %]])</f>
        <v>513</v>
      </c>
      <c r="N439">
        <f>DAY(InputData[[#This Row],[DATE]])</f>
        <v>30</v>
      </c>
      <c r="O439" t="str">
        <f>TEXT(InputData[[#This Row],[DATE]],"mmm")</f>
        <v>Aug</v>
      </c>
      <c r="P439">
        <f>YEAR(InputData[[#This Row],[DATE]])</f>
        <v>2022</v>
      </c>
    </row>
    <row r="440" spans="1:16" x14ac:dyDescent="0.3">
      <c r="A440" s="3">
        <v>44803</v>
      </c>
      <c r="B440" s="4" t="s">
        <v>96</v>
      </c>
      <c r="C440" s="5">
        <v>6</v>
      </c>
      <c r="D440" s="5" t="s">
        <v>108</v>
      </c>
      <c r="E440" s="5" t="s">
        <v>107</v>
      </c>
      <c r="F440" s="6">
        <v>0</v>
      </c>
      <c r="G440" t="str">
        <f>VLOOKUP(InputData[[#This Row],[PRODUCT ID]],MasterData[],2,)</f>
        <v>Product43</v>
      </c>
      <c r="H440" t="str">
        <f>VLOOKUP(InputData[[#This Row],[PRODUCT ID]],MasterData[],3,)</f>
        <v>Category05</v>
      </c>
      <c r="I440" t="str">
        <f>VLOOKUP(InputData[[#This Row],[PRODUCT ID]],MasterData[],4,)</f>
        <v>Kg</v>
      </c>
      <c r="J440" s="7">
        <f>VLOOKUP(InputData[[#This Row],[PRODUCT ID]],MasterData[],5,)</f>
        <v>67</v>
      </c>
      <c r="K440" s="7">
        <f>VLOOKUP(InputData[[#This Row],[PRODUCT ID]],MasterData[],6,)</f>
        <v>83.08</v>
      </c>
      <c r="L440" s="7">
        <f>InputData[[#This Row],[BUYING PRIZE]]*InputData[[#This Row],[QUANTITY]]</f>
        <v>402</v>
      </c>
      <c r="M440" s="7">
        <f>InputData[[#This Row],[SELLING PRICE]]*InputData[[#This Row],[QUANTITY]]*(1-InputData[[#This Row],[DISCOUNT %]])</f>
        <v>498.48</v>
      </c>
      <c r="N440">
        <f>DAY(InputData[[#This Row],[DATE]])</f>
        <v>30</v>
      </c>
      <c r="O440" t="str">
        <f>TEXT(InputData[[#This Row],[DATE]],"mmm")</f>
        <v>Aug</v>
      </c>
      <c r="P440">
        <f>YEAR(InputData[[#This Row],[DATE]])</f>
        <v>2022</v>
      </c>
    </row>
    <row r="441" spans="1:16" x14ac:dyDescent="0.3">
      <c r="A441" s="3">
        <v>44803</v>
      </c>
      <c r="B441" s="4" t="s">
        <v>58</v>
      </c>
      <c r="C441" s="5">
        <v>5</v>
      </c>
      <c r="D441" s="5" t="s">
        <v>108</v>
      </c>
      <c r="E441" s="5" t="s">
        <v>107</v>
      </c>
      <c r="F441" s="6">
        <v>0</v>
      </c>
      <c r="G441" t="str">
        <f>VLOOKUP(InputData[[#This Row],[PRODUCT ID]],MasterData[],2,)</f>
        <v>Product25</v>
      </c>
      <c r="H441" t="str">
        <f>VLOOKUP(InputData[[#This Row],[PRODUCT ID]],MasterData[],3,)</f>
        <v>Category03</v>
      </c>
      <c r="I441" t="str">
        <f>VLOOKUP(InputData[[#This Row],[PRODUCT ID]],MasterData[],4,)</f>
        <v>No.</v>
      </c>
      <c r="J441" s="7">
        <f>VLOOKUP(InputData[[#This Row],[PRODUCT ID]],MasterData[],5,)</f>
        <v>7</v>
      </c>
      <c r="K441" s="7">
        <f>VLOOKUP(InputData[[#This Row],[PRODUCT ID]],MasterData[],6,)</f>
        <v>8.33</v>
      </c>
      <c r="L441" s="7">
        <f>InputData[[#This Row],[BUYING PRIZE]]*InputData[[#This Row],[QUANTITY]]</f>
        <v>35</v>
      </c>
      <c r="M441" s="7">
        <f>InputData[[#This Row],[SELLING PRICE]]*InputData[[#This Row],[QUANTITY]]*(1-InputData[[#This Row],[DISCOUNT %]])</f>
        <v>41.65</v>
      </c>
      <c r="N441">
        <f>DAY(InputData[[#This Row],[DATE]])</f>
        <v>30</v>
      </c>
      <c r="O441" t="str">
        <f>TEXT(InputData[[#This Row],[DATE]],"mmm")</f>
        <v>Aug</v>
      </c>
      <c r="P441">
        <f>YEAR(InputData[[#This Row],[DATE]])</f>
        <v>2022</v>
      </c>
    </row>
    <row r="442" spans="1:16" x14ac:dyDescent="0.3">
      <c r="A442" s="3">
        <v>44804</v>
      </c>
      <c r="B442" s="4" t="s">
        <v>37</v>
      </c>
      <c r="C442" s="5">
        <v>13</v>
      </c>
      <c r="D442" s="5" t="s">
        <v>108</v>
      </c>
      <c r="E442" s="5" t="s">
        <v>107</v>
      </c>
      <c r="F442" s="6">
        <v>0</v>
      </c>
      <c r="G442" t="str">
        <f>VLOOKUP(InputData[[#This Row],[PRODUCT ID]],MasterData[],2,)</f>
        <v>Product15</v>
      </c>
      <c r="H442" t="str">
        <f>VLOOKUP(InputData[[#This Row],[PRODUCT ID]],MasterData[],3,)</f>
        <v>Category02</v>
      </c>
      <c r="I442" t="str">
        <f>VLOOKUP(InputData[[#This Row],[PRODUCT ID]],MasterData[],4,)</f>
        <v>No.</v>
      </c>
      <c r="J442" s="7">
        <f>VLOOKUP(InputData[[#This Row],[PRODUCT ID]],MasterData[],5,)</f>
        <v>12</v>
      </c>
      <c r="K442" s="7">
        <f>VLOOKUP(InputData[[#This Row],[PRODUCT ID]],MasterData[],6,)</f>
        <v>15.719999999999999</v>
      </c>
      <c r="L442" s="7">
        <f>InputData[[#This Row],[BUYING PRIZE]]*InputData[[#This Row],[QUANTITY]]</f>
        <v>156</v>
      </c>
      <c r="M442" s="7">
        <f>InputData[[#This Row],[SELLING PRICE]]*InputData[[#This Row],[QUANTITY]]*(1-InputData[[#This Row],[DISCOUNT %]])</f>
        <v>204.35999999999999</v>
      </c>
      <c r="N442">
        <f>DAY(InputData[[#This Row],[DATE]])</f>
        <v>31</v>
      </c>
      <c r="O442" t="str">
        <f>TEXT(InputData[[#This Row],[DATE]],"mmm")</f>
        <v>Aug</v>
      </c>
      <c r="P442">
        <f>YEAR(InputData[[#This Row],[DATE]])</f>
        <v>2022</v>
      </c>
    </row>
    <row r="443" spans="1:16" x14ac:dyDescent="0.3">
      <c r="A443" s="3">
        <v>44808</v>
      </c>
      <c r="B443" s="4" t="s">
        <v>10</v>
      </c>
      <c r="C443" s="5">
        <v>1</v>
      </c>
      <c r="D443" s="5" t="s">
        <v>108</v>
      </c>
      <c r="E443" s="5" t="s">
        <v>107</v>
      </c>
      <c r="F443" s="6">
        <v>0</v>
      </c>
      <c r="G443" t="str">
        <f>VLOOKUP(InputData[[#This Row],[PRODUCT ID]],MasterData[],2,)</f>
        <v>Product02</v>
      </c>
      <c r="H443" t="str">
        <f>VLOOKUP(InputData[[#This Row],[PRODUCT ID]],MasterData[],3,)</f>
        <v>Category01</v>
      </c>
      <c r="I443" t="str">
        <f>VLOOKUP(InputData[[#This Row],[PRODUCT ID]],MasterData[],4,)</f>
        <v>Kg</v>
      </c>
      <c r="J443" s="7">
        <f>VLOOKUP(InputData[[#This Row],[PRODUCT ID]],MasterData[],5,)</f>
        <v>105</v>
      </c>
      <c r="K443" s="7">
        <f>VLOOKUP(InputData[[#This Row],[PRODUCT ID]],MasterData[],6,)</f>
        <v>142.80000000000001</v>
      </c>
      <c r="L443" s="7">
        <f>InputData[[#This Row],[BUYING PRIZE]]*InputData[[#This Row],[QUANTITY]]</f>
        <v>105</v>
      </c>
      <c r="M443" s="7">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3">
      <c r="A444" s="3">
        <v>44810</v>
      </c>
      <c r="B444" s="4" t="s">
        <v>16</v>
      </c>
      <c r="C444" s="5">
        <v>12</v>
      </c>
      <c r="D444" s="5" t="s">
        <v>105</v>
      </c>
      <c r="E444" s="5" t="s">
        <v>106</v>
      </c>
      <c r="F444" s="6">
        <v>0</v>
      </c>
      <c r="G444" t="str">
        <f>VLOOKUP(InputData[[#This Row],[PRODUCT ID]],MasterData[],2,)</f>
        <v>Product05</v>
      </c>
      <c r="H444" t="str">
        <f>VLOOKUP(InputData[[#This Row],[PRODUCT ID]],MasterData[],3,)</f>
        <v>Category01</v>
      </c>
      <c r="I444" t="str">
        <f>VLOOKUP(InputData[[#This Row],[PRODUCT ID]],MasterData[],4,)</f>
        <v>Ft</v>
      </c>
      <c r="J444" s="7">
        <f>VLOOKUP(InputData[[#This Row],[PRODUCT ID]],MasterData[],5,)</f>
        <v>133</v>
      </c>
      <c r="K444" s="7">
        <f>VLOOKUP(InputData[[#This Row],[PRODUCT ID]],MasterData[],6,)</f>
        <v>155.61000000000001</v>
      </c>
      <c r="L444" s="7">
        <f>InputData[[#This Row],[BUYING PRIZE]]*InputData[[#This Row],[QUANTITY]]</f>
        <v>1596</v>
      </c>
      <c r="M444" s="7">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3">
      <c r="A445" s="3">
        <v>44813</v>
      </c>
      <c r="B445" s="4" t="s">
        <v>92</v>
      </c>
      <c r="C445" s="5">
        <v>9</v>
      </c>
      <c r="D445" s="5" t="s">
        <v>108</v>
      </c>
      <c r="E445" s="5" t="s">
        <v>106</v>
      </c>
      <c r="F445" s="6">
        <v>0</v>
      </c>
      <c r="G445" t="str">
        <f>VLOOKUP(InputData[[#This Row],[PRODUCT ID]],MasterData[],2,)</f>
        <v>Product41</v>
      </c>
      <c r="H445" t="str">
        <f>VLOOKUP(InputData[[#This Row],[PRODUCT ID]],MasterData[],3,)</f>
        <v>Category05</v>
      </c>
      <c r="I445" t="str">
        <f>VLOOKUP(InputData[[#This Row],[PRODUCT ID]],MasterData[],4,)</f>
        <v>Ft</v>
      </c>
      <c r="J445" s="7">
        <f>VLOOKUP(InputData[[#This Row],[PRODUCT ID]],MasterData[],5,)</f>
        <v>138</v>
      </c>
      <c r="K445" s="7">
        <f>VLOOKUP(InputData[[#This Row],[PRODUCT ID]],MasterData[],6,)</f>
        <v>173.88</v>
      </c>
      <c r="L445" s="7">
        <f>InputData[[#This Row],[BUYING PRIZE]]*InputData[[#This Row],[QUANTITY]]</f>
        <v>1242</v>
      </c>
      <c r="M445" s="7">
        <f>InputData[[#This Row],[SELLING PRICE]]*InputData[[#This Row],[QUANTITY]]*(1-InputData[[#This Row],[DISCOUNT %]])</f>
        <v>1564.92</v>
      </c>
      <c r="N445">
        <f>DAY(InputData[[#This Row],[DATE]])</f>
        <v>9</v>
      </c>
      <c r="O445" t="str">
        <f>TEXT(InputData[[#This Row],[DATE]],"mmm")</f>
        <v>Sep</v>
      </c>
      <c r="P445">
        <f>YEAR(InputData[[#This Row],[DATE]])</f>
        <v>2022</v>
      </c>
    </row>
    <row r="446" spans="1:16" x14ac:dyDescent="0.3">
      <c r="A446" s="3">
        <v>44813</v>
      </c>
      <c r="B446" s="4" t="s">
        <v>12</v>
      </c>
      <c r="C446" s="5">
        <v>3</v>
      </c>
      <c r="D446" s="5" t="s">
        <v>108</v>
      </c>
      <c r="E446" s="5" t="s">
        <v>106</v>
      </c>
      <c r="F446" s="6">
        <v>0</v>
      </c>
      <c r="G446" t="str">
        <f>VLOOKUP(InputData[[#This Row],[PRODUCT ID]],MasterData[],2,)</f>
        <v>Product03</v>
      </c>
      <c r="H446" t="str">
        <f>VLOOKUP(InputData[[#This Row],[PRODUCT ID]],MasterData[],3,)</f>
        <v>Category01</v>
      </c>
      <c r="I446" t="str">
        <f>VLOOKUP(InputData[[#This Row],[PRODUCT ID]],MasterData[],4,)</f>
        <v>Kg</v>
      </c>
      <c r="J446" s="7">
        <f>VLOOKUP(InputData[[#This Row],[PRODUCT ID]],MasterData[],5,)</f>
        <v>71</v>
      </c>
      <c r="K446" s="7">
        <f>VLOOKUP(InputData[[#This Row],[PRODUCT ID]],MasterData[],6,)</f>
        <v>80.94</v>
      </c>
      <c r="L446" s="7">
        <f>InputData[[#This Row],[BUYING PRIZE]]*InputData[[#This Row],[QUANTITY]]</f>
        <v>213</v>
      </c>
      <c r="M446" s="7">
        <f>InputData[[#This Row],[SELLING PRICE]]*InputData[[#This Row],[QUANTITY]]*(1-InputData[[#This Row],[DISCOUNT %]])</f>
        <v>242.82</v>
      </c>
      <c r="N446">
        <f>DAY(InputData[[#This Row],[DATE]])</f>
        <v>9</v>
      </c>
      <c r="O446" t="str">
        <f>TEXT(InputData[[#This Row],[DATE]],"mmm")</f>
        <v>Sep</v>
      </c>
      <c r="P446">
        <f>YEAR(InputData[[#This Row],[DATE]])</f>
        <v>2022</v>
      </c>
    </row>
    <row r="447" spans="1:16" x14ac:dyDescent="0.3">
      <c r="A447" s="3">
        <v>44814</v>
      </c>
      <c r="B447" s="4" t="s">
        <v>79</v>
      </c>
      <c r="C447" s="5">
        <v>15</v>
      </c>
      <c r="D447" s="5" t="s">
        <v>106</v>
      </c>
      <c r="E447" s="5" t="s">
        <v>107</v>
      </c>
      <c r="F447" s="6">
        <v>0</v>
      </c>
      <c r="G447" t="str">
        <f>VLOOKUP(InputData[[#This Row],[PRODUCT ID]],MasterData[],2,)</f>
        <v>Product35</v>
      </c>
      <c r="H447" t="str">
        <f>VLOOKUP(InputData[[#This Row],[PRODUCT ID]],MasterData[],3,)</f>
        <v>Category04</v>
      </c>
      <c r="I447" t="str">
        <f>VLOOKUP(InputData[[#This Row],[PRODUCT ID]],MasterData[],4,)</f>
        <v>No.</v>
      </c>
      <c r="J447" s="7">
        <f>VLOOKUP(InputData[[#This Row],[PRODUCT ID]],MasterData[],5,)</f>
        <v>5</v>
      </c>
      <c r="K447" s="7">
        <f>VLOOKUP(InputData[[#This Row],[PRODUCT ID]],MasterData[],6,)</f>
        <v>6.7</v>
      </c>
      <c r="L447" s="7">
        <f>InputData[[#This Row],[BUYING PRIZE]]*InputData[[#This Row],[QUANTITY]]</f>
        <v>75</v>
      </c>
      <c r="M447" s="7">
        <f>InputData[[#This Row],[SELLING PRICE]]*InputData[[#This Row],[QUANTITY]]*(1-InputData[[#This Row],[DISCOUNT %]])</f>
        <v>100.5</v>
      </c>
      <c r="N447">
        <f>DAY(InputData[[#This Row],[DATE]])</f>
        <v>10</v>
      </c>
      <c r="O447" t="str">
        <f>TEXT(InputData[[#This Row],[DATE]],"mmm")</f>
        <v>Sep</v>
      </c>
      <c r="P447">
        <f>YEAR(InputData[[#This Row],[DATE]])</f>
        <v>2022</v>
      </c>
    </row>
    <row r="448" spans="1:16" x14ac:dyDescent="0.3">
      <c r="A448" s="3">
        <v>44814</v>
      </c>
      <c r="B448" s="4" t="s">
        <v>86</v>
      </c>
      <c r="C448" s="5">
        <v>4</v>
      </c>
      <c r="D448" s="5" t="s">
        <v>108</v>
      </c>
      <c r="E448" s="5" t="s">
        <v>107</v>
      </c>
      <c r="F448" s="6">
        <v>0</v>
      </c>
      <c r="G448" t="str">
        <f>VLOOKUP(InputData[[#This Row],[PRODUCT ID]],MasterData[],2,)</f>
        <v>Product38</v>
      </c>
      <c r="H448" t="str">
        <f>VLOOKUP(InputData[[#This Row],[PRODUCT ID]],MasterData[],3,)</f>
        <v>Category05</v>
      </c>
      <c r="I448" t="str">
        <f>VLOOKUP(InputData[[#This Row],[PRODUCT ID]],MasterData[],4,)</f>
        <v>Kg</v>
      </c>
      <c r="J448" s="7">
        <f>VLOOKUP(InputData[[#This Row],[PRODUCT ID]],MasterData[],5,)</f>
        <v>72</v>
      </c>
      <c r="K448" s="7">
        <f>VLOOKUP(InputData[[#This Row],[PRODUCT ID]],MasterData[],6,)</f>
        <v>79.92</v>
      </c>
      <c r="L448" s="7">
        <f>InputData[[#This Row],[BUYING PRIZE]]*InputData[[#This Row],[QUANTITY]]</f>
        <v>288</v>
      </c>
      <c r="M448" s="7">
        <f>InputData[[#This Row],[SELLING PRICE]]*InputData[[#This Row],[QUANTITY]]*(1-InputData[[#This Row],[DISCOUNT %]])</f>
        <v>319.68</v>
      </c>
      <c r="N448">
        <f>DAY(InputData[[#This Row],[DATE]])</f>
        <v>10</v>
      </c>
      <c r="O448" t="str">
        <f>TEXT(InputData[[#This Row],[DATE]],"mmm")</f>
        <v>Sep</v>
      </c>
      <c r="P448">
        <f>YEAR(InputData[[#This Row],[DATE]])</f>
        <v>2022</v>
      </c>
    </row>
    <row r="449" spans="1:16" x14ac:dyDescent="0.3">
      <c r="A449" s="3">
        <v>44818</v>
      </c>
      <c r="B449" s="4" t="s">
        <v>67</v>
      </c>
      <c r="C449" s="5">
        <v>3</v>
      </c>
      <c r="D449" s="5" t="s">
        <v>108</v>
      </c>
      <c r="E449" s="5" t="s">
        <v>107</v>
      </c>
      <c r="F449" s="6">
        <v>0</v>
      </c>
      <c r="G449" t="str">
        <f>VLOOKUP(InputData[[#This Row],[PRODUCT ID]],MasterData[],2,)</f>
        <v>Product29</v>
      </c>
      <c r="H449" t="str">
        <f>VLOOKUP(InputData[[#This Row],[PRODUCT ID]],MasterData[],3,)</f>
        <v>Category04</v>
      </c>
      <c r="I449" t="str">
        <f>VLOOKUP(InputData[[#This Row],[PRODUCT ID]],MasterData[],4,)</f>
        <v>Lt</v>
      </c>
      <c r="J449" s="7">
        <f>VLOOKUP(InputData[[#This Row],[PRODUCT ID]],MasterData[],5,)</f>
        <v>47</v>
      </c>
      <c r="K449" s="7">
        <f>VLOOKUP(InputData[[#This Row],[PRODUCT ID]],MasterData[],6,)</f>
        <v>53.11</v>
      </c>
      <c r="L449" s="7">
        <f>InputData[[#This Row],[BUYING PRIZE]]*InputData[[#This Row],[QUANTITY]]</f>
        <v>141</v>
      </c>
      <c r="M449" s="7">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3">
      <c r="A450" s="3">
        <v>44819</v>
      </c>
      <c r="B450" s="4" t="s">
        <v>83</v>
      </c>
      <c r="C450" s="5">
        <v>15</v>
      </c>
      <c r="D450" s="5" t="s">
        <v>106</v>
      </c>
      <c r="E450" s="5" t="s">
        <v>106</v>
      </c>
      <c r="F450" s="6">
        <v>0</v>
      </c>
      <c r="G450" t="str">
        <f>VLOOKUP(InputData[[#This Row],[PRODUCT ID]],MasterData[],2,)</f>
        <v>Product37</v>
      </c>
      <c r="H450" t="str">
        <f>VLOOKUP(InputData[[#This Row],[PRODUCT ID]],MasterData[],3,)</f>
        <v>Category05</v>
      </c>
      <c r="I450" t="str">
        <f>VLOOKUP(InputData[[#This Row],[PRODUCT ID]],MasterData[],4,)</f>
        <v>Kg</v>
      </c>
      <c r="J450" s="7">
        <f>VLOOKUP(InputData[[#This Row],[PRODUCT ID]],MasterData[],5,)</f>
        <v>67</v>
      </c>
      <c r="K450" s="7">
        <f>VLOOKUP(InputData[[#This Row],[PRODUCT ID]],MasterData[],6,)</f>
        <v>85.76</v>
      </c>
      <c r="L450" s="7">
        <f>InputData[[#This Row],[BUYING PRIZE]]*InputData[[#This Row],[QUANTITY]]</f>
        <v>1005</v>
      </c>
      <c r="M450" s="7">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3">
      <c r="A451" s="3">
        <v>44822</v>
      </c>
      <c r="B451" s="4" t="s">
        <v>60</v>
      </c>
      <c r="C451" s="5">
        <v>14</v>
      </c>
      <c r="D451" s="5" t="s">
        <v>106</v>
      </c>
      <c r="E451" s="5" t="s">
        <v>107</v>
      </c>
      <c r="F451" s="6">
        <v>0</v>
      </c>
      <c r="G451" t="str">
        <f>VLOOKUP(InputData[[#This Row],[PRODUCT ID]],MasterData[],2,)</f>
        <v>Product26</v>
      </c>
      <c r="H451" t="str">
        <f>VLOOKUP(InputData[[#This Row],[PRODUCT ID]],MasterData[],3,)</f>
        <v>Category04</v>
      </c>
      <c r="I451" t="str">
        <f>VLOOKUP(InputData[[#This Row],[PRODUCT ID]],MasterData[],4,)</f>
        <v>No.</v>
      </c>
      <c r="J451" s="7">
        <f>VLOOKUP(InputData[[#This Row],[PRODUCT ID]],MasterData[],5,)</f>
        <v>18</v>
      </c>
      <c r="K451" s="7">
        <f>VLOOKUP(InputData[[#This Row],[PRODUCT ID]],MasterData[],6,)</f>
        <v>24.66</v>
      </c>
      <c r="L451" s="7">
        <f>InputData[[#This Row],[BUYING PRIZE]]*InputData[[#This Row],[QUANTITY]]</f>
        <v>252</v>
      </c>
      <c r="M451" s="7">
        <f>InputData[[#This Row],[SELLING PRICE]]*InputData[[#This Row],[QUANTITY]]*(1-InputData[[#This Row],[DISCOUNT %]])</f>
        <v>345.24</v>
      </c>
      <c r="N451">
        <f>DAY(InputData[[#This Row],[DATE]])</f>
        <v>18</v>
      </c>
      <c r="O451" t="str">
        <f>TEXT(InputData[[#This Row],[DATE]],"mmm")</f>
        <v>Sep</v>
      </c>
      <c r="P451">
        <f>YEAR(InputData[[#This Row],[DATE]])</f>
        <v>2022</v>
      </c>
    </row>
    <row r="452" spans="1:16" x14ac:dyDescent="0.3">
      <c r="A452" s="3">
        <v>44823</v>
      </c>
      <c r="B452" s="4" t="s">
        <v>75</v>
      </c>
      <c r="C452" s="5">
        <v>8</v>
      </c>
      <c r="D452" s="5" t="s">
        <v>105</v>
      </c>
      <c r="E452" s="5" t="s">
        <v>107</v>
      </c>
      <c r="F452" s="6">
        <v>0</v>
      </c>
      <c r="G452" t="str">
        <f>VLOOKUP(InputData[[#This Row],[PRODUCT ID]],MasterData[],2,)</f>
        <v>Product33</v>
      </c>
      <c r="H452" t="str">
        <f>VLOOKUP(InputData[[#This Row],[PRODUCT ID]],MasterData[],3,)</f>
        <v>Category04</v>
      </c>
      <c r="I452" t="str">
        <f>VLOOKUP(InputData[[#This Row],[PRODUCT ID]],MasterData[],4,)</f>
        <v>Kg</v>
      </c>
      <c r="J452" s="7">
        <f>VLOOKUP(InputData[[#This Row],[PRODUCT ID]],MasterData[],5,)</f>
        <v>95</v>
      </c>
      <c r="K452" s="7">
        <f>VLOOKUP(InputData[[#This Row],[PRODUCT ID]],MasterData[],6,)</f>
        <v>119.7</v>
      </c>
      <c r="L452" s="7">
        <f>InputData[[#This Row],[BUYING PRIZE]]*InputData[[#This Row],[QUANTITY]]</f>
        <v>760</v>
      </c>
      <c r="M452" s="7">
        <f>InputData[[#This Row],[SELLING PRICE]]*InputData[[#This Row],[QUANTITY]]*(1-InputData[[#This Row],[DISCOUNT %]])</f>
        <v>957.6</v>
      </c>
      <c r="N452">
        <f>DAY(InputData[[#This Row],[DATE]])</f>
        <v>19</v>
      </c>
      <c r="O452" t="str">
        <f>TEXT(InputData[[#This Row],[DATE]],"mmm")</f>
        <v>Sep</v>
      </c>
      <c r="P452">
        <f>YEAR(InputData[[#This Row],[DATE]])</f>
        <v>2022</v>
      </c>
    </row>
    <row r="453" spans="1:16" x14ac:dyDescent="0.3">
      <c r="A453" s="3">
        <v>44824</v>
      </c>
      <c r="B453" s="4" t="s">
        <v>75</v>
      </c>
      <c r="C453" s="5">
        <v>6</v>
      </c>
      <c r="D453" s="5" t="s">
        <v>108</v>
      </c>
      <c r="E453" s="5" t="s">
        <v>106</v>
      </c>
      <c r="F453" s="6">
        <v>0</v>
      </c>
      <c r="G453" t="str">
        <f>VLOOKUP(InputData[[#This Row],[PRODUCT ID]],MasterData[],2,)</f>
        <v>Product33</v>
      </c>
      <c r="H453" t="str">
        <f>VLOOKUP(InputData[[#This Row],[PRODUCT ID]],MasterData[],3,)</f>
        <v>Category04</v>
      </c>
      <c r="I453" t="str">
        <f>VLOOKUP(InputData[[#This Row],[PRODUCT ID]],MasterData[],4,)</f>
        <v>Kg</v>
      </c>
      <c r="J453" s="7">
        <f>VLOOKUP(InputData[[#This Row],[PRODUCT ID]],MasterData[],5,)</f>
        <v>95</v>
      </c>
      <c r="K453" s="7">
        <f>VLOOKUP(InputData[[#This Row],[PRODUCT ID]],MasterData[],6,)</f>
        <v>119.7</v>
      </c>
      <c r="L453" s="7">
        <f>InputData[[#This Row],[BUYING PRIZE]]*InputData[[#This Row],[QUANTITY]]</f>
        <v>570</v>
      </c>
      <c r="M453" s="7">
        <f>InputData[[#This Row],[SELLING PRICE]]*InputData[[#This Row],[QUANTITY]]*(1-InputData[[#This Row],[DISCOUNT %]])</f>
        <v>718.2</v>
      </c>
      <c r="N453">
        <f>DAY(InputData[[#This Row],[DATE]])</f>
        <v>20</v>
      </c>
      <c r="O453" t="str">
        <f>TEXT(InputData[[#This Row],[DATE]],"mmm")</f>
        <v>Sep</v>
      </c>
      <c r="P453">
        <f>YEAR(InputData[[#This Row],[DATE]])</f>
        <v>2022</v>
      </c>
    </row>
    <row r="454" spans="1:16" x14ac:dyDescent="0.3">
      <c r="A454" s="3">
        <v>44824</v>
      </c>
      <c r="B454" s="4" t="s">
        <v>6</v>
      </c>
      <c r="C454" s="5">
        <v>10</v>
      </c>
      <c r="D454" s="5" t="s">
        <v>108</v>
      </c>
      <c r="E454" s="5" t="s">
        <v>106</v>
      </c>
      <c r="F454" s="6">
        <v>0</v>
      </c>
      <c r="G454" t="str">
        <f>VLOOKUP(InputData[[#This Row],[PRODUCT ID]],MasterData[],2,)</f>
        <v>Product01</v>
      </c>
      <c r="H454" t="str">
        <f>VLOOKUP(InputData[[#This Row],[PRODUCT ID]],MasterData[],3,)</f>
        <v>Category01</v>
      </c>
      <c r="I454" t="str">
        <f>VLOOKUP(InputData[[#This Row],[PRODUCT ID]],MasterData[],4,)</f>
        <v>Kg</v>
      </c>
      <c r="J454" s="7">
        <f>VLOOKUP(InputData[[#This Row],[PRODUCT ID]],MasterData[],5,)</f>
        <v>98</v>
      </c>
      <c r="K454" s="7">
        <f>VLOOKUP(InputData[[#This Row],[PRODUCT ID]],MasterData[],6,)</f>
        <v>103.88</v>
      </c>
      <c r="L454" s="7">
        <f>InputData[[#This Row],[BUYING PRIZE]]*InputData[[#This Row],[QUANTITY]]</f>
        <v>980</v>
      </c>
      <c r="M454" s="7">
        <f>InputData[[#This Row],[SELLING PRICE]]*InputData[[#This Row],[QUANTITY]]*(1-InputData[[#This Row],[DISCOUNT %]])</f>
        <v>1038.8</v>
      </c>
      <c r="N454">
        <f>DAY(InputData[[#This Row],[DATE]])</f>
        <v>20</v>
      </c>
      <c r="O454" t="str">
        <f>TEXT(InputData[[#This Row],[DATE]],"mmm")</f>
        <v>Sep</v>
      </c>
      <c r="P454">
        <f>YEAR(InputData[[#This Row],[DATE]])</f>
        <v>2022</v>
      </c>
    </row>
    <row r="455" spans="1:16" x14ac:dyDescent="0.3">
      <c r="A455" s="3">
        <v>44825</v>
      </c>
      <c r="B455" s="4" t="s">
        <v>43</v>
      </c>
      <c r="C455" s="5">
        <v>14</v>
      </c>
      <c r="D455" s="5" t="s">
        <v>106</v>
      </c>
      <c r="E455" s="5" t="s">
        <v>106</v>
      </c>
      <c r="F455" s="6">
        <v>0</v>
      </c>
      <c r="G455" t="str">
        <f>VLOOKUP(InputData[[#This Row],[PRODUCT ID]],MasterData[],2,)</f>
        <v>Product18</v>
      </c>
      <c r="H455" t="str">
        <f>VLOOKUP(InputData[[#This Row],[PRODUCT ID]],MasterData[],3,)</f>
        <v>Category02</v>
      </c>
      <c r="I455" t="str">
        <f>VLOOKUP(InputData[[#This Row],[PRODUCT ID]],MasterData[],4,)</f>
        <v>No.</v>
      </c>
      <c r="J455" s="7">
        <f>VLOOKUP(InputData[[#This Row],[PRODUCT ID]],MasterData[],5,)</f>
        <v>37</v>
      </c>
      <c r="K455" s="7">
        <f>VLOOKUP(InputData[[#This Row],[PRODUCT ID]],MasterData[],6,)</f>
        <v>49.21</v>
      </c>
      <c r="L455" s="7">
        <f>InputData[[#This Row],[BUYING PRIZE]]*InputData[[#This Row],[QUANTITY]]</f>
        <v>518</v>
      </c>
      <c r="M455" s="7">
        <f>InputData[[#This Row],[SELLING PRICE]]*InputData[[#This Row],[QUANTITY]]*(1-InputData[[#This Row],[DISCOUNT %]])</f>
        <v>688.94</v>
      </c>
      <c r="N455">
        <f>DAY(InputData[[#This Row],[DATE]])</f>
        <v>21</v>
      </c>
      <c r="O455" t="str">
        <f>TEXT(InputData[[#This Row],[DATE]],"mmm")</f>
        <v>Sep</v>
      </c>
      <c r="P455">
        <f>YEAR(InputData[[#This Row],[DATE]])</f>
        <v>2022</v>
      </c>
    </row>
    <row r="456" spans="1:16" x14ac:dyDescent="0.3">
      <c r="A456" s="3">
        <v>44825</v>
      </c>
      <c r="B456" s="4" t="s">
        <v>60</v>
      </c>
      <c r="C456" s="5">
        <v>5</v>
      </c>
      <c r="D456" s="5" t="s">
        <v>108</v>
      </c>
      <c r="E456" s="5" t="s">
        <v>107</v>
      </c>
      <c r="F456" s="6">
        <v>0</v>
      </c>
      <c r="G456" t="str">
        <f>VLOOKUP(InputData[[#This Row],[PRODUCT ID]],MasterData[],2,)</f>
        <v>Product26</v>
      </c>
      <c r="H456" t="str">
        <f>VLOOKUP(InputData[[#This Row],[PRODUCT ID]],MasterData[],3,)</f>
        <v>Category04</v>
      </c>
      <c r="I456" t="str">
        <f>VLOOKUP(InputData[[#This Row],[PRODUCT ID]],MasterData[],4,)</f>
        <v>No.</v>
      </c>
      <c r="J456" s="7">
        <f>VLOOKUP(InputData[[#This Row],[PRODUCT ID]],MasterData[],5,)</f>
        <v>18</v>
      </c>
      <c r="K456" s="7">
        <f>VLOOKUP(InputData[[#This Row],[PRODUCT ID]],MasterData[],6,)</f>
        <v>24.66</v>
      </c>
      <c r="L456" s="7">
        <f>InputData[[#This Row],[BUYING PRIZE]]*InputData[[#This Row],[QUANTITY]]</f>
        <v>90</v>
      </c>
      <c r="M456" s="7">
        <f>InputData[[#This Row],[SELLING PRICE]]*InputData[[#This Row],[QUANTITY]]*(1-InputData[[#This Row],[DISCOUNT %]])</f>
        <v>123.3</v>
      </c>
      <c r="N456">
        <f>DAY(InputData[[#This Row],[DATE]])</f>
        <v>21</v>
      </c>
      <c r="O456" t="str">
        <f>TEXT(InputData[[#This Row],[DATE]],"mmm")</f>
        <v>Sep</v>
      </c>
      <c r="P456">
        <f>YEAR(InputData[[#This Row],[DATE]])</f>
        <v>2022</v>
      </c>
    </row>
    <row r="457" spans="1:16" x14ac:dyDescent="0.3">
      <c r="A457" s="3">
        <v>44826</v>
      </c>
      <c r="B457" s="4" t="s">
        <v>96</v>
      </c>
      <c r="C457" s="5">
        <v>12</v>
      </c>
      <c r="D457" s="5" t="s">
        <v>106</v>
      </c>
      <c r="E457" s="5" t="s">
        <v>106</v>
      </c>
      <c r="F457" s="6">
        <v>0</v>
      </c>
      <c r="G457" t="str">
        <f>VLOOKUP(InputData[[#This Row],[PRODUCT ID]],MasterData[],2,)</f>
        <v>Product43</v>
      </c>
      <c r="H457" t="str">
        <f>VLOOKUP(InputData[[#This Row],[PRODUCT ID]],MasterData[],3,)</f>
        <v>Category05</v>
      </c>
      <c r="I457" t="str">
        <f>VLOOKUP(InputData[[#This Row],[PRODUCT ID]],MasterData[],4,)</f>
        <v>Kg</v>
      </c>
      <c r="J457" s="7">
        <f>VLOOKUP(InputData[[#This Row],[PRODUCT ID]],MasterData[],5,)</f>
        <v>67</v>
      </c>
      <c r="K457" s="7">
        <f>VLOOKUP(InputData[[#This Row],[PRODUCT ID]],MasterData[],6,)</f>
        <v>83.08</v>
      </c>
      <c r="L457" s="7">
        <f>InputData[[#This Row],[BUYING PRIZE]]*InputData[[#This Row],[QUANTITY]]</f>
        <v>804</v>
      </c>
      <c r="M457" s="7">
        <f>InputData[[#This Row],[SELLING PRICE]]*InputData[[#This Row],[QUANTITY]]*(1-InputData[[#This Row],[DISCOUNT %]])</f>
        <v>996.96</v>
      </c>
      <c r="N457">
        <f>DAY(InputData[[#This Row],[DATE]])</f>
        <v>22</v>
      </c>
      <c r="O457" t="str">
        <f>TEXT(InputData[[#This Row],[DATE]],"mmm")</f>
        <v>Sep</v>
      </c>
      <c r="P457">
        <f>YEAR(InputData[[#This Row],[DATE]])</f>
        <v>2022</v>
      </c>
    </row>
    <row r="458" spans="1:16" x14ac:dyDescent="0.3">
      <c r="A458" s="3">
        <v>44827</v>
      </c>
      <c r="B458" s="4" t="s">
        <v>31</v>
      </c>
      <c r="C458" s="5">
        <v>12</v>
      </c>
      <c r="D458" s="5" t="s">
        <v>108</v>
      </c>
      <c r="E458" s="5" t="s">
        <v>106</v>
      </c>
      <c r="F458" s="6">
        <v>0</v>
      </c>
      <c r="G458" t="str">
        <f>VLOOKUP(InputData[[#This Row],[PRODUCT ID]],MasterData[],2,)</f>
        <v>Product12</v>
      </c>
      <c r="H458" t="str">
        <f>VLOOKUP(InputData[[#This Row],[PRODUCT ID]],MasterData[],3,)</f>
        <v>Category02</v>
      </c>
      <c r="I458" t="str">
        <f>VLOOKUP(InputData[[#This Row],[PRODUCT ID]],MasterData[],4,)</f>
        <v>Kg</v>
      </c>
      <c r="J458" s="7">
        <f>VLOOKUP(InputData[[#This Row],[PRODUCT ID]],MasterData[],5,)</f>
        <v>73</v>
      </c>
      <c r="K458" s="7">
        <f>VLOOKUP(InputData[[#This Row],[PRODUCT ID]],MasterData[],6,)</f>
        <v>94.17</v>
      </c>
      <c r="L458" s="7">
        <f>InputData[[#This Row],[BUYING PRIZE]]*InputData[[#This Row],[QUANTITY]]</f>
        <v>876</v>
      </c>
      <c r="M458" s="7">
        <f>InputData[[#This Row],[SELLING PRICE]]*InputData[[#This Row],[QUANTITY]]*(1-InputData[[#This Row],[DISCOUNT %]])</f>
        <v>1130.04</v>
      </c>
      <c r="N458">
        <f>DAY(InputData[[#This Row],[DATE]])</f>
        <v>23</v>
      </c>
      <c r="O458" t="str">
        <f>TEXT(InputData[[#This Row],[DATE]],"mmm")</f>
        <v>Sep</v>
      </c>
      <c r="P458">
        <f>YEAR(InputData[[#This Row],[DATE]])</f>
        <v>2022</v>
      </c>
    </row>
    <row r="459" spans="1:16" x14ac:dyDescent="0.3">
      <c r="A459" s="3">
        <v>44828</v>
      </c>
      <c r="B459" s="4" t="s">
        <v>73</v>
      </c>
      <c r="C459" s="5">
        <v>14</v>
      </c>
      <c r="D459" s="5" t="s">
        <v>108</v>
      </c>
      <c r="E459" s="5" t="s">
        <v>106</v>
      </c>
      <c r="F459" s="6">
        <v>0</v>
      </c>
      <c r="G459" t="str">
        <f>VLOOKUP(InputData[[#This Row],[PRODUCT ID]],MasterData[],2,)</f>
        <v>Product32</v>
      </c>
      <c r="H459" t="str">
        <f>VLOOKUP(InputData[[#This Row],[PRODUCT ID]],MasterData[],3,)</f>
        <v>Category04</v>
      </c>
      <c r="I459" t="str">
        <f>VLOOKUP(InputData[[#This Row],[PRODUCT ID]],MasterData[],4,)</f>
        <v>Kg</v>
      </c>
      <c r="J459" s="7">
        <f>VLOOKUP(InputData[[#This Row],[PRODUCT ID]],MasterData[],5,)</f>
        <v>89</v>
      </c>
      <c r="K459" s="7">
        <f>VLOOKUP(InputData[[#This Row],[PRODUCT ID]],MasterData[],6,)</f>
        <v>117.48</v>
      </c>
      <c r="L459" s="7">
        <f>InputData[[#This Row],[BUYING PRIZE]]*InputData[[#This Row],[QUANTITY]]</f>
        <v>1246</v>
      </c>
      <c r="M459" s="7">
        <f>InputData[[#This Row],[SELLING PRICE]]*InputData[[#This Row],[QUANTITY]]*(1-InputData[[#This Row],[DISCOUNT %]])</f>
        <v>1644.72</v>
      </c>
      <c r="N459">
        <f>DAY(InputData[[#This Row],[DATE]])</f>
        <v>24</v>
      </c>
      <c r="O459" t="str">
        <f>TEXT(InputData[[#This Row],[DATE]],"mmm")</f>
        <v>Sep</v>
      </c>
      <c r="P459">
        <f>YEAR(InputData[[#This Row],[DATE]])</f>
        <v>2022</v>
      </c>
    </row>
    <row r="460" spans="1:16" x14ac:dyDescent="0.3">
      <c r="A460" s="3">
        <v>44828</v>
      </c>
      <c r="B460" s="4" t="s">
        <v>73</v>
      </c>
      <c r="C460" s="5">
        <v>8</v>
      </c>
      <c r="D460" s="5" t="s">
        <v>108</v>
      </c>
      <c r="E460" s="5" t="s">
        <v>107</v>
      </c>
      <c r="F460" s="6">
        <v>0</v>
      </c>
      <c r="G460" t="str">
        <f>VLOOKUP(InputData[[#This Row],[PRODUCT ID]],MasterData[],2,)</f>
        <v>Product32</v>
      </c>
      <c r="H460" t="str">
        <f>VLOOKUP(InputData[[#This Row],[PRODUCT ID]],MasterData[],3,)</f>
        <v>Category04</v>
      </c>
      <c r="I460" t="str">
        <f>VLOOKUP(InputData[[#This Row],[PRODUCT ID]],MasterData[],4,)</f>
        <v>Kg</v>
      </c>
      <c r="J460" s="7">
        <f>VLOOKUP(InputData[[#This Row],[PRODUCT ID]],MasterData[],5,)</f>
        <v>89</v>
      </c>
      <c r="K460" s="7">
        <f>VLOOKUP(InputData[[#This Row],[PRODUCT ID]],MasterData[],6,)</f>
        <v>117.48</v>
      </c>
      <c r="L460" s="7">
        <f>InputData[[#This Row],[BUYING PRIZE]]*InputData[[#This Row],[QUANTITY]]</f>
        <v>712</v>
      </c>
      <c r="M460" s="7">
        <f>InputData[[#This Row],[SELLING PRICE]]*InputData[[#This Row],[QUANTITY]]*(1-InputData[[#This Row],[DISCOUNT %]])</f>
        <v>939.84</v>
      </c>
      <c r="N460">
        <f>DAY(InputData[[#This Row],[DATE]])</f>
        <v>24</v>
      </c>
      <c r="O460" t="str">
        <f>TEXT(InputData[[#This Row],[DATE]],"mmm")</f>
        <v>Sep</v>
      </c>
      <c r="P460">
        <f>YEAR(InputData[[#This Row],[DATE]])</f>
        <v>2022</v>
      </c>
    </row>
    <row r="461" spans="1:16" x14ac:dyDescent="0.3">
      <c r="A461" s="3">
        <v>44831</v>
      </c>
      <c r="B461" s="4" t="s">
        <v>81</v>
      </c>
      <c r="C461" s="5">
        <v>4</v>
      </c>
      <c r="D461" s="5" t="s">
        <v>108</v>
      </c>
      <c r="E461" s="5" t="s">
        <v>107</v>
      </c>
      <c r="F461" s="6">
        <v>0</v>
      </c>
      <c r="G461" t="str">
        <f>VLOOKUP(InputData[[#This Row],[PRODUCT ID]],MasterData[],2,)</f>
        <v>Product36</v>
      </c>
      <c r="H461" t="str">
        <f>VLOOKUP(InputData[[#This Row],[PRODUCT ID]],MasterData[],3,)</f>
        <v>Category04</v>
      </c>
      <c r="I461" t="str">
        <f>VLOOKUP(InputData[[#This Row],[PRODUCT ID]],MasterData[],4,)</f>
        <v>Kg</v>
      </c>
      <c r="J461" s="7">
        <f>VLOOKUP(InputData[[#This Row],[PRODUCT ID]],MasterData[],5,)</f>
        <v>90</v>
      </c>
      <c r="K461" s="7">
        <f>VLOOKUP(InputData[[#This Row],[PRODUCT ID]],MasterData[],6,)</f>
        <v>96.3</v>
      </c>
      <c r="L461" s="7">
        <f>InputData[[#This Row],[BUYING PRIZE]]*InputData[[#This Row],[QUANTITY]]</f>
        <v>360</v>
      </c>
      <c r="M461" s="7">
        <f>InputData[[#This Row],[SELLING PRICE]]*InputData[[#This Row],[QUANTITY]]*(1-InputData[[#This Row],[DISCOUNT %]])</f>
        <v>385.2</v>
      </c>
      <c r="N461">
        <f>DAY(InputData[[#This Row],[DATE]])</f>
        <v>27</v>
      </c>
      <c r="O461" t="str">
        <f>TEXT(InputData[[#This Row],[DATE]],"mmm")</f>
        <v>Sep</v>
      </c>
      <c r="P461">
        <f>YEAR(InputData[[#This Row],[DATE]])</f>
        <v>2022</v>
      </c>
    </row>
    <row r="462" spans="1:16" x14ac:dyDescent="0.3">
      <c r="A462" s="3">
        <v>44831</v>
      </c>
      <c r="B462" s="4" t="s">
        <v>98</v>
      </c>
      <c r="C462" s="5">
        <v>9</v>
      </c>
      <c r="D462" s="5" t="s">
        <v>108</v>
      </c>
      <c r="E462" s="5" t="s">
        <v>107</v>
      </c>
      <c r="F462" s="6">
        <v>0</v>
      </c>
      <c r="G462" t="str">
        <f>VLOOKUP(InputData[[#This Row],[PRODUCT ID]],MasterData[],2,)</f>
        <v>Product44</v>
      </c>
      <c r="H462" t="str">
        <f>VLOOKUP(InputData[[#This Row],[PRODUCT ID]],MasterData[],3,)</f>
        <v>Category05</v>
      </c>
      <c r="I462" t="str">
        <f>VLOOKUP(InputData[[#This Row],[PRODUCT ID]],MasterData[],4,)</f>
        <v>Kg</v>
      </c>
      <c r="J462" s="7">
        <f>VLOOKUP(InputData[[#This Row],[PRODUCT ID]],MasterData[],5,)</f>
        <v>76</v>
      </c>
      <c r="K462" s="7">
        <f>VLOOKUP(InputData[[#This Row],[PRODUCT ID]],MasterData[],6,)</f>
        <v>82.08</v>
      </c>
      <c r="L462" s="7">
        <f>InputData[[#This Row],[BUYING PRIZE]]*InputData[[#This Row],[QUANTITY]]</f>
        <v>684</v>
      </c>
      <c r="M462" s="7">
        <f>InputData[[#This Row],[SELLING PRICE]]*InputData[[#This Row],[QUANTITY]]*(1-InputData[[#This Row],[DISCOUNT %]])</f>
        <v>738.72</v>
      </c>
      <c r="N462">
        <f>DAY(InputData[[#This Row],[DATE]])</f>
        <v>27</v>
      </c>
      <c r="O462" t="str">
        <f>TEXT(InputData[[#This Row],[DATE]],"mmm")</f>
        <v>Sep</v>
      </c>
      <c r="P462">
        <f>YEAR(InputData[[#This Row],[DATE]])</f>
        <v>2022</v>
      </c>
    </row>
    <row r="463" spans="1:16" x14ac:dyDescent="0.3">
      <c r="A463" s="3">
        <v>44831</v>
      </c>
      <c r="B463" s="4" t="s">
        <v>86</v>
      </c>
      <c r="C463" s="5">
        <v>3</v>
      </c>
      <c r="D463" s="5" t="s">
        <v>105</v>
      </c>
      <c r="E463" s="5" t="s">
        <v>107</v>
      </c>
      <c r="F463" s="6">
        <v>0</v>
      </c>
      <c r="G463" t="str">
        <f>VLOOKUP(InputData[[#This Row],[PRODUCT ID]],MasterData[],2,)</f>
        <v>Product38</v>
      </c>
      <c r="H463" t="str">
        <f>VLOOKUP(InputData[[#This Row],[PRODUCT ID]],MasterData[],3,)</f>
        <v>Category05</v>
      </c>
      <c r="I463" t="str">
        <f>VLOOKUP(InputData[[#This Row],[PRODUCT ID]],MasterData[],4,)</f>
        <v>Kg</v>
      </c>
      <c r="J463" s="7">
        <f>VLOOKUP(InputData[[#This Row],[PRODUCT ID]],MasterData[],5,)</f>
        <v>72</v>
      </c>
      <c r="K463" s="7">
        <f>VLOOKUP(InputData[[#This Row],[PRODUCT ID]],MasterData[],6,)</f>
        <v>79.92</v>
      </c>
      <c r="L463" s="7">
        <f>InputData[[#This Row],[BUYING PRIZE]]*InputData[[#This Row],[QUANTITY]]</f>
        <v>216</v>
      </c>
      <c r="M463" s="7">
        <f>InputData[[#This Row],[SELLING PRICE]]*InputData[[#This Row],[QUANTITY]]*(1-InputData[[#This Row],[DISCOUNT %]])</f>
        <v>239.76</v>
      </c>
      <c r="N463">
        <f>DAY(InputData[[#This Row],[DATE]])</f>
        <v>27</v>
      </c>
      <c r="O463" t="str">
        <f>TEXT(InputData[[#This Row],[DATE]],"mmm")</f>
        <v>Sep</v>
      </c>
      <c r="P463">
        <f>YEAR(InputData[[#This Row],[DATE]])</f>
        <v>2022</v>
      </c>
    </row>
    <row r="464" spans="1:16" x14ac:dyDescent="0.3">
      <c r="A464" s="3">
        <v>44833</v>
      </c>
      <c r="B464" s="4" t="s">
        <v>77</v>
      </c>
      <c r="C464" s="5">
        <v>13</v>
      </c>
      <c r="D464" s="5" t="s">
        <v>108</v>
      </c>
      <c r="E464" s="5" t="s">
        <v>106</v>
      </c>
      <c r="F464" s="6">
        <v>0</v>
      </c>
      <c r="G464" t="str">
        <f>VLOOKUP(InputData[[#This Row],[PRODUCT ID]],MasterData[],2,)</f>
        <v>Product34</v>
      </c>
      <c r="H464" t="str">
        <f>VLOOKUP(InputData[[#This Row],[PRODUCT ID]],MasterData[],3,)</f>
        <v>Category04</v>
      </c>
      <c r="I464" t="str">
        <f>VLOOKUP(InputData[[#This Row],[PRODUCT ID]],MasterData[],4,)</f>
        <v>Lt</v>
      </c>
      <c r="J464" s="7">
        <f>VLOOKUP(InputData[[#This Row],[PRODUCT ID]],MasterData[],5,)</f>
        <v>55</v>
      </c>
      <c r="K464" s="7">
        <f>VLOOKUP(InputData[[#This Row],[PRODUCT ID]],MasterData[],6,)</f>
        <v>58.3</v>
      </c>
      <c r="L464" s="7">
        <f>InputData[[#This Row],[BUYING PRIZE]]*InputData[[#This Row],[QUANTITY]]</f>
        <v>715</v>
      </c>
      <c r="M464" s="7">
        <f>InputData[[#This Row],[SELLING PRICE]]*InputData[[#This Row],[QUANTITY]]*(1-InputData[[#This Row],[DISCOUNT %]])</f>
        <v>757.9</v>
      </c>
      <c r="N464">
        <f>DAY(InputData[[#This Row],[DATE]])</f>
        <v>29</v>
      </c>
      <c r="O464" t="str">
        <f>TEXT(InputData[[#This Row],[DATE]],"mmm")</f>
        <v>Sep</v>
      </c>
      <c r="P464">
        <f>YEAR(InputData[[#This Row],[DATE]])</f>
        <v>2022</v>
      </c>
    </row>
    <row r="465" spans="1:16" x14ac:dyDescent="0.3">
      <c r="A465" s="3">
        <v>44837</v>
      </c>
      <c r="B465" s="4" t="s">
        <v>29</v>
      </c>
      <c r="C465" s="5">
        <v>5</v>
      </c>
      <c r="D465" s="5" t="s">
        <v>108</v>
      </c>
      <c r="E465" s="5" t="s">
        <v>107</v>
      </c>
      <c r="F465" s="6">
        <v>0</v>
      </c>
      <c r="G465" t="str">
        <f>VLOOKUP(InputData[[#This Row],[PRODUCT ID]],MasterData[],2,)</f>
        <v>Product11</v>
      </c>
      <c r="H465" t="str">
        <f>VLOOKUP(InputData[[#This Row],[PRODUCT ID]],MasterData[],3,)</f>
        <v>Category02</v>
      </c>
      <c r="I465" t="str">
        <f>VLOOKUP(InputData[[#This Row],[PRODUCT ID]],MasterData[],4,)</f>
        <v>Lt</v>
      </c>
      <c r="J465" s="7">
        <f>VLOOKUP(InputData[[#This Row],[PRODUCT ID]],MasterData[],5,)</f>
        <v>44</v>
      </c>
      <c r="K465" s="7">
        <f>VLOOKUP(InputData[[#This Row],[PRODUCT ID]],MasterData[],6,)</f>
        <v>48.4</v>
      </c>
      <c r="L465" s="7">
        <f>InputData[[#This Row],[BUYING PRIZE]]*InputData[[#This Row],[QUANTITY]]</f>
        <v>220</v>
      </c>
      <c r="M465" s="7">
        <f>InputData[[#This Row],[SELLING PRICE]]*InputData[[#This Row],[QUANTITY]]*(1-InputData[[#This Row],[DISCOUNT %]])</f>
        <v>242</v>
      </c>
      <c r="N465">
        <f>DAY(InputData[[#This Row],[DATE]])</f>
        <v>3</v>
      </c>
      <c r="O465" t="str">
        <f>TEXT(InputData[[#This Row],[DATE]],"mmm")</f>
        <v>Oct</v>
      </c>
      <c r="P465">
        <f>YEAR(InputData[[#This Row],[DATE]])</f>
        <v>2022</v>
      </c>
    </row>
    <row r="466" spans="1:16" x14ac:dyDescent="0.3">
      <c r="A466" s="3">
        <v>44838</v>
      </c>
      <c r="B466" s="4" t="s">
        <v>20</v>
      </c>
      <c r="C466" s="5">
        <v>15</v>
      </c>
      <c r="D466" s="5" t="s">
        <v>108</v>
      </c>
      <c r="E466" s="5" t="s">
        <v>106</v>
      </c>
      <c r="F466" s="6">
        <v>0</v>
      </c>
      <c r="G466" t="str">
        <f>VLOOKUP(InputData[[#This Row],[PRODUCT ID]],MasterData[],2,)</f>
        <v>Product07</v>
      </c>
      <c r="H466" t="str">
        <f>VLOOKUP(InputData[[#This Row],[PRODUCT ID]],MasterData[],3,)</f>
        <v>Category01</v>
      </c>
      <c r="I466" t="str">
        <f>VLOOKUP(InputData[[#This Row],[PRODUCT ID]],MasterData[],4,)</f>
        <v>Lt</v>
      </c>
      <c r="J466" s="7">
        <f>VLOOKUP(InputData[[#This Row],[PRODUCT ID]],MasterData[],5,)</f>
        <v>43</v>
      </c>
      <c r="K466" s="7">
        <f>VLOOKUP(InputData[[#This Row],[PRODUCT ID]],MasterData[],6,)</f>
        <v>47.730000000000004</v>
      </c>
      <c r="L466" s="7">
        <f>InputData[[#This Row],[BUYING PRIZE]]*InputData[[#This Row],[QUANTITY]]</f>
        <v>645</v>
      </c>
      <c r="M466" s="7">
        <f>InputData[[#This Row],[SELLING PRICE]]*InputData[[#This Row],[QUANTITY]]*(1-InputData[[#This Row],[DISCOUNT %]])</f>
        <v>715.95</v>
      </c>
      <c r="N466">
        <f>DAY(InputData[[#This Row],[DATE]])</f>
        <v>4</v>
      </c>
      <c r="O466" t="str">
        <f>TEXT(InputData[[#This Row],[DATE]],"mmm")</f>
        <v>Oct</v>
      </c>
      <c r="P466">
        <f>YEAR(InputData[[#This Row],[DATE]])</f>
        <v>2022</v>
      </c>
    </row>
    <row r="467" spans="1:16" x14ac:dyDescent="0.3">
      <c r="A467" s="3">
        <v>44840</v>
      </c>
      <c r="B467" s="4" t="s">
        <v>79</v>
      </c>
      <c r="C467" s="5">
        <v>1</v>
      </c>
      <c r="D467" s="5" t="s">
        <v>108</v>
      </c>
      <c r="E467" s="5" t="s">
        <v>106</v>
      </c>
      <c r="F467" s="6">
        <v>0</v>
      </c>
      <c r="G467" t="str">
        <f>VLOOKUP(InputData[[#This Row],[PRODUCT ID]],MasterData[],2,)</f>
        <v>Product35</v>
      </c>
      <c r="H467" t="str">
        <f>VLOOKUP(InputData[[#This Row],[PRODUCT ID]],MasterData[],3,)</f>
        <v>Category04</v>
      </c>
      <c r="I467" t="str">
        <f>VLOOKUP(InputData[[#This Row],[PRODUCT ID]],MasterData[],4,)</f>
        <v>No.</v>
      </c>
      <c r="J467" s="7">
        <f>VLOOKUP(InputData[[#This Row],[PRODUCT ID]],MasterData[],5,)</f>
        <v>5</v>
      </c>
      <c r="K467" s="7">
        <f>VLOOKUP(InputData[[#This Row],[PRODUCT ID]],MasterData[],6,)</f>
        <v>6.7</v>
      </c>
      <c r="L467" s="7">
        <f>InputData[[#This Row],[BUYING PRIZE]]*InputData[[#This Row],[QUANTITY]]</f>
        <v>5</v>
      </c>
      <c r="M467" s="7">
        <f>InputData[[#This Row],[SELLING PRICE]]*InputData[[#This Row],[QUANTITY]]*(1-InputData[[#This Row],[DISCOUNT %]])</f>
        <v>6.7</v>
      </c>
      <c r="N467">
        <f>DAY(InputData[[#This Row],[DATE]])</f>
        <v>6</v>
      </c>
      <c r="O467" t="str">
        <f>TEXT(InputData[[#This Row],[DATE]],"mmm")</f>
        <v>Oct</v>
      </c>
      <c r="P467">
        <f>YEAR(InputData[[#This Row],[DATE]])</f>
        <v>2022</v>
      </c>
    </row>
    <row r="468" spans="1:16" x14ac:dyDescent="0.3">
      <c r="A468" s="3">
        <v>44843</v>
      </c>
      <c r="B468" s="4" t="s">
        <v>86</v>
      </c>
      <c r="C468" s="5">
        <v>14</v>
      </c>
      <c r="D468" s="5" t="s">
        <v>106</v>
      </c>
      <c r="E468" s="5" t="s">
        <v>106</v>
      </c>
      <c r="F468" s="6">
        <v>0</v>
      </c>
      <c r="G468" t="str">
        <f>VLOOKUP(InputData[[#This Row],[PRODUCT ID]],MasterData[],2,)</f>
        <v>Product38</v>
      </c>
      <c r="H468" t="str">
        <f>VLOOKUP(InputData[[#This Row],[PRODUCT ID]],MasterData[],3,)</f>
        <v>Category05</v>
      </c>
      <c r="I468" t="str">
        <f>VLOOKUP(InputData[[#This Row],[PRODUCT ID]],MasterData[],4,)</f>
        <v>Kg</v>
      </c>
      <c r="J468" s="7">
        <f>VLOOKUP(InputData[[#This Row],[PRODUCT ID]],MasterData[],5,)</f>
        <v>72</v>
      </c>
      <c r="K468" s="7">
        <f>VLOOKUP(InputData[[#This Row],[PRODUCT ID]],MasterData[],6,)</f>
        <v>79.92</v>
      </c>
      <c r="L468" s="7">
        <f>InputData[[#This Row],[BUYING PRIZE]]*InputData[[#This Row],[QUANTITY]]</f>
        <v>1008</v>
      </c>
      <c r="M468" s="7">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3">
      <c r="A469" s="3">
        <v>44844</v>
      </c>
      <c r="B469" s="4" t="s">
        <v>45</v>
      </c>
      <c r="C469" s="5">
        <v>9</v>
      </c>
      <c r="D469" s="5" t="s">
        <v>108</v>
      </c>
      <c r="E469" s="5" t="s">
        <v>106</v>
      </c>
      <c r="F469" s="6">
        <v>0</v>
      </c>
      <c r="G469" t="str">
        <f>VLOOKUP(InputData[[#This Row],[PRODUCT ID]],MasterData[],2,)</f>
        <v>Product19</v>
      </c>
      <c r="H469" t="str">
        <f>VLOOKUP(InputData[[#This Row],[PRODUCT ID]],MasterData[],3,)</f>
        <v>Category02</v>
      </c>
      <c r="I469" t="str">
        <f>VLOOKUP(InputData[[#This Row],[PRODUCT ID]],MasterData[],4,)</f>
        <v>Ft</v>
      </c>
      <c r="J469" s="7">
        <f>VLOOKUP(InputData[[#This Row],[PRODUCT ID]],MasterData[],5,)</f>
        <v>150</v>
      </c>
      <c r="K469" s="7">
        <f>VLOOKUP(InputData[[#This Row],[PRODUCT ID]],MasterData[],6,)</f>
        <v>210</v>
      </c>
      <c r="L469" s="7">
        <f>InputData[[#This Row],[BUYING PRIZE]]*InputData[[#This Row],[QUANTITY]]</f>
        <v>1350</v>
      </c>
      <c r="M469" s="7">
        <f>InputData[[#This Row],[SELLING PRICE]]*InputData[[#This Row],[QUANTITY]]*(1-InputData[[#This Row],[DISCOUNT %]])</f>
        <v>1890</v>
      </c>
      <c r="N469">
        <f>DAY(InputData[[#This Row],[DATE]])</f>
        <v>10</v>
      </c>
      <c r="O469" t="str">
        <f>TEXT(InputData[[#This Row],[DATE]],"mmm")</f>
        <v>Oct</v>
      </c>
      <c r="P469">
        <f>YEAR(InputData[[#This Row],[DATE]])</f>
        <v>2022</v>
      </c>
    </row>
    <row r="470" spans="1:16" x14ac:dyDescent="0.3">
      <c r="A470" s="3">
        <v>44844</v>
      </c>
      <c r="B470" s="4" t="s">
        <v>98</v>
      </c>
      <c r="C470" s="5">
        <v>12</v>
      </c>
      <c r="D470" s="5" t="s">
        <v>106</v>
      </c>
      <c r="E470" s="5" t="s">
        <v>106</v>
      </c>
      <c r="F470" s="6">
        <v>0</v>
      </c>
      <c r="G470" t="str">
        <f>VLOOKUP(InputData[[#This Row],[PRODUCT ID]],MasterData[],2,)</f>
        <v>Product44</v>
      </c>
      <c r="H470" t="str">
        <f>VLOOKUP(InputData[[#This Row],[PRODUCT ID]],MasterData[],3,)</f>
        <v>Category05</v>
      </c>
      <c r="I470" t="str">
        <f>VLOOKUP(InputData[[#This Row],[PRODUCT ID]],MasterData[],4,)</f>
        <v>Kg</v>
      </c>
      <c r="J470" s="7">
        <f>VLOOKUP(InputData[[#This Row],[PRODUCT ID]],MasterData[],5,)</f>
        <v>76</v>
      </c>
      <c r="K470" s="7">
        <f>VLOOKUP(InputData[[#This Row],[PRODUCT ID]],MasterData[],6,)</f>
        <v>82.08</v>
      </c>
      <c r="L470" s="7">
        <f>InputData[[#This Row],[BUYING PRIZE]]*InputData[[#This Row],[QUANTITY]]</f>
        <v>912</v>
      </c>
      <c r="M470" s="7">
        <f>InputData[[#This Row],[SELLING PRICE]]*InputData[[#This Row],[QUANTITY]]*(1-InputData[[#This Row],[DISCOUNT %]])</f>
        <v>984.96</v>
      </c>
      <c r="N470">
        <f>DAY(InputData[[#This Row],[DATE]])</f>
        <v>10</v>
      </c>
      <c r="O470" t="str">
        <f>TEXT(InputData[[#This Row],[DATE]],"mmm")</f>
        <v>Oct</v>
      </c>
      <c r="P470">
        <f>YEAR(InputData[[#This Row],[DATE]])</f>
        <v>2022</v>
      </c>
    </row>
    <row r="471" spans="1:16" x14ac:dyDescent="0.3">
      <c r="A471" s="3">
        <v>44845</v>
      </c>
      <c r="B471" s="4" t="s">
        <v>22</v>
      </c>
      <c r="C471" s="5">
        <v>10</v>
      </c>
      <c r="D471" s="5" t="s">
        <v>108</v>
      </c>
      <c r="E471" s="5" t="s">
        <v>106</v>
      </c>
      <c r="F471" s="6">
        <v>0</v>
      </c>
      <c r="G471" t="str">
        <f>VLOOKUP(InputData[[#This Row],[PRODUCT ID]],MasterData[],2,)</f>
        <v>Product08</v>
      </c>
      <c r="H471" t="str">
        <f>VLOOKUP(InputData[[#This Row],[PRODUCT ID]],MasterData[],3,)</f>
        <v>Category01</v>
      </c>
      <c r="I471" t="str">
        <f>VLOOKUP(InputData[[#This Row],[PRODUCT ID]],MasterData[],4,)</f>
        <v>Kg</v>
      </c>
      <c r="J471" s="7">
        <f>VLOOKUP(InputData[[#This Row],[PRODUCT ID]],MasterData[],5,)</f>
        <v>83</v>
      </c>
      <c r="K471" s="7">
        <f>VLOOKUP(InputData[[#This Row],[PRODUCT ID]],MasterData[],6,)</f>
        <v>94.62</v>
      </c>
      <c r="L471" s="7">
        <f>InputData[[#This Row],[BUYING PRIZE]]*InputData[[#This Row],[QUANTITY]]</f>
        <v>830</v>
      </c>
      <c r="M471" s="7">
        <f>InputData[[#This Row],[SELLING PRICE]]*InputData[[#This Row],[QUANTITY]]*(1-InputData[[#This Row],[DISCOUNT %]])</f>
        <v>946.2</v>
      </c>
      <c r="N471">
        <f>DAY(InputData[[#This Row],[DATE]])</f>
        <v>11</v>
      </c>
      <c r="O471" t="str">
        <f>TEXT(InputData[[#This Row],[DATE]],"mmm")</f>
        <v>Oct</v>
      </c>
      <c r="P471">
        <f>YEAR(InputData[[#This Row],[DATE]])</f>
        <v>2022</v>
      </c>
    </row>
    <row r="472" spans="1:16" x14ac:dyDescent="0.3">
      <c r="A472" s="3">
        <v>44847</v>
      </c>
      <c r="B472" s="4" t="s">
        <v>10</v>
      </c>
      <c r="C472" s="5">
        <v>15</v>
      </c>
      <c r="D472" s="5" t="s">
        <v>106</v>
      </c>
      <c r="E472" s="5" t="s">
        <v>106</v>
      </c>
      <c r="F472" s="6">
        <v>0</v>
      </c>
      <c r="G472" t="str">
        <f>VLOOKUP(InputData[[#This Row],[PRODUCT ID]],MasterData[],2,)</f>
        <v>Product02</v>
      </c>
      <c r="H472" t="str">
        <f>VLOOKUP(InputData[[#This Row],[PRODUCT ID]],MasterData[],3,)</f>
        <v>Category01</v>
      </c>
      <c r="I472" t="str">
        <f>VLOOKUP(InputData[[#This Row],[PRODUCT ID]],MasterData[],4,)</f>
        <v>Kg</v>
      </c>
      <c r="J472" s="7">
        <f>VLOOKUP(InputData[[#This Row],[PRODUCT ID]],MasterData[],5,)</f>
        <v>105</v>
      </c>
      <c r="K472" s="7">
        <f>VLOOKUP(InputData[[#This Row],[PRODUCT ID]],MasterData[],6,)</f>
        <v>142.80000000000001</v>
      </c>
      <c r="L472" s="7">
        <f>InputData[[#This Row],[BUYING PRIZE]]*InputData[[#This Row],[QUANTITY]]</f>
        <v>1575</v>
      </c>
      <c r="M472" s="7">
        <f>InputData[[#This Row],[SELLING PRICE]]*InputData[[#This Row],[QUANTITY]]*(1-InputData[[#This Row],[DISCOUNT %]])</f>
        <v>2142</v>
      </c>
      <c r="N472">
        <f>DAY(InputData[[#This Row],[DATE]])</f>
        <v>13</v>
      </c>
      <c r="O472" t="str">
        <f>TEXT(InputData[[#This Row],[DATE]],"mmm")</f>
        <v>Oct</v>
      </c>
      <c r="P472">
        <f>YEAR(InputData[[#This Row],[DATE]])</f>
        <v>2022</v>
      </c>
    </row>
    <row r="473" spans="1:16" x14ac:dyDescent="0.3">
      <c r="A473" s="3">
        <v>44848</v>
      </c>
      <c r="B473" s="4" t="s">
        <v>98</v>
      </c>
      <c r="C473" s="5">
        <v>15</v>
      </c>
      <c r="D473" s="5" t="s">
        <v>105</v>
      </c>
      <c r="E473" s="5" t="s">
        <v>106</v>
      </c>
      <c r="F473" s="6">
        <v>0</v>
      </c>
      <c r="G473" t="str">
        <f>VLOOKUP(InputData[[#This Row],[PRODUCT ID]],MasterData[],2,)</f>
        <v>Product44</v>
      </c>
      <c r="H473" t="str">
        <f>VLOOKUP(InputData[[#This Row],[PRODUCT ID]],MasterData[],3,)</f>
        <v>Category05</v>
      </c>
      <c r="I473" t="str">
        <f>VLOOKUP(InputData[[#This Row],[PRODUCT ID]],MasterData[],4,)</f>
        <v>Kg</v>
      </c>
      <c r="J473" s="7">
        <f>VLOOKUP(InputData[[#This Row],[PRODUCT ID]],MasterData[],5,)</f>
        <v>76</v>
      </c>
      <c r="K473" s="7">
        <f>VLOOKUP(InputData[[#This Row],[PRODUCT ID]],MasterData[],6,)</f>
        <v>82.08</v>
      </c>
      <c r="L473" s="7">
        <f>InputData[[#This Row],[BUYING PRIZE]]*InputData[[#This Row],[QUANTITY]]</f>
        <v>1140</v>
      </c>
      <c r="M473" s="7">
        <f>InputData[[#This Row],[SELLING PRICE]]*InputData[[#This Row],[QUANTITY]]*(1-InputData[[#This Row],[DISCOUNT %]])</f>
        <v>1231.2</v>
      </c>
      <c r="N473">
        <f>DAY(InputData[[#This Row],[DATE]])</f>
        <v>14</v>
      </c>
      <c r="O473" t="str">
        <f>TEXT(InputData[[#This Row],[DATE]],"mmm")</f>
        <v>Oct</v>
      </c>
      <c r="P473">
        <f>YEAR(InputData[[#This Row],[DATE]])</f>
        <v>2022</v>
      </c>
    </row>
    <row r="474" spans="1:16" x14ac:dyDescent="0.3">
      <c r="A474" s="3">
        <v>44849</v>
      </c>
      <c r="B474" s="4" t="s">
        <v>37</v>
      </c>
      <c r="C474" s="5">
        <v>10</v>
      </c>
      <c r="D474" s="5" t="s">
        <v>108</v>
      </c>
      <c r="E474" s="5" t="s">
        <v>107</v>
      </c>
      <c r="F474" s="6">
        <v>0</v>
      </c>
      <c r="G474" t="str">
        <f>VLOOKUP(InputData[[#This Row],[PRODUCT ID]],MasterData[],2,)</f>
        <v>Product15</v>
      </c>
      <c r="H474" t="str">
        <f>VLOOKUP(InputData[[#This Row],[PRODUCT ID]],MasterData[],3,)</f>
        <v>Category02</v>
      </c>
      <c r="I474" t="str">
        <f>VLOOKUP(InputData[[#This Row],[PRODUCT ID]],MasterData[],4,)</f>
        <v>No.</v>
      </c>
      <c r="J474" s="7">
        <f>VLOOKUP(InputData[[#This Row],[PRODUCT ID]],MasterData[],5,)</f>
        <v>12</v>
      </c>
      <c r="K474" s="7">
        <f>VLOOKUP(InputData[[#This Row],[PRODUCT ID]],MasterData[],6,)</f>
        <v>15.719999999999999</v>
      </c>
      <c r="L474" s="7">
        <f>InputData[[#This Row],[BUYING PRIZE]]*InputData[[#This Row],[QUANTITY]]</f>
        <v>120</v>
      </c>
      <c r="M474" s="7">
        <f>InputData[[#This Row],[SELLING PRICE]]*InputData[[#This Row],[QUANTITY]]*(1-InputData[[#This Row],[DISCOUNT %]])</f>
        <v>157.19999999999999</v>
      </c>
      <c r="N474">
        <f>DAY(InputData[[#This Row],[DATE]])</f>
        <v>15</v>
      </c>
      <c r="O474" t="str">
        <f>TEXT(InputData[[#This Row],[DATE]],"mmm")</f>
        <v>Oct</v>
      </c>
      <c r="P474">
        <f>YEAR(InputData[[#This Row],[DATE]])</f>
        <v>2022</v>
      </c>
    </row>
    <row r="475" spans="1:16" x14ac:dyDescent="0.3">
      <c r="A475" s="3">
        <v>44850</v>
      </c>
      <c r="B475" s="4" t="s">
        <v>81</v>
      </c>
      <c r="C475" s="5">
        <v>3</v>
      </c>
      <c r="D475" s="5" t="s">
        <v>106</v>
      </c>
      <c r="E475" s="5" t="s">
        <v>106</v>
      </c>
      <c r="F475" s="6">
        <v>0</v>
      </c>
      <c r="G475" t="str">
        <f>VLOOKUP(InputData[[#This Row],[PRODUCT ID]],MasterData[],2,)</f>
        <v>Product36</v>
      </c>
      <c r="H475" t="str">
        <f>VLOOKUP(InputData[[#This Row],[PRODUCT ID]],MasterData[],3,)</f>
        <v>Category04</v>
      </c>
      <c r="I475" t="str">
        <f>VLOOKUP(InputData[[#This Row],[PRODUCT ID]],MasterData[],4,)</f>
        <v>Kg</v>
      </c>
      <c r="J475" s="7">
        <f>VLOOKUP(InputData[[#This Row],[PRODUCT ID]],MasterData[],5,)</f>
        <v>90</v>
      </c>
      <c r="K475" s="7">
        <f>VLOOKUP(InputData[[#This Row],[PRODUCT ID]],MasterData[],6,)</f>
        <v>96.3</v>
      </c>
      <c r="L475" s="7">
        <f>InputData[[#This Row],[BUYING PRIZE]]*InputData[[#This Row],[QUANTITY]]</f>
        <v>270</v>
      </c>
      <c r="M475" s="7">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3">
      <c r="A476" s="3">
        <v>44857</v>
      </c>
      <c r="B476" s="4" t="s">
        <v>56</v>
      </c>
      <c r="C476" s="5">
        <v>14</v>
      </c>
      <c r="D476" s="5" t="s">
        <v>106</v>
      </c>
      <c r="E476" s="5" t="s">
        <v>107</v>
      </c>
      <c r="F476" s="6">
        <v>0</v>
      </c>
      <c r="G476" t="str">
        <f>VLOOKUP(InputData[[#This Row],[PRODUCT ID]],MasterData[],2,)</f>
        <v>Product24</v>
      </c>
      <c r="H476" t="str">
        <f>VLOOKUP(InputData[[#This Row],[PRODUCT ID]],MasterData[],3,)</f>
        <v>Category03</v>
      </c>
      <c r="I476" t="str">
        <f>VLOOKUP(InputData[[#This Row],[PRODUCT ID]],MasterData[],4,)</f>
        <v>Ft</v>
      </c>
      <c r="J476" s="7">
        <f>VLOOKUP(InputData[[#This Row],[PRODUCT ID]],MasterData[],5,)</f>
        <v>144</v>
      </c>
      <c r="K476" s="7">
        <f>VLOOKUP(InputData[[#This Row],[PRODUCT ID]],MasterData[],6,)</f>
        <v>156.96</v>
      </c>
      <c r="L476" s="7">
        <f>InputData[[#This Row],[BUYING PRIZE]]*InputData[[#This Row],[QUANTITY]]</f>
        <v>2016</v>
      </c>
      <c r="M476" s="7">
        <f>InputData[[#This Row],[SELLING PRICE]]*InputData[[#This Row],[QUANTITY]]*(1-InputData[[#This Row],[DISCOUNT %]])</f>
        <v>2197.44</v>
      </c>
      <c r="N476">
        <f>DAY(InputData[[#This Row],[DATE]])</f>
        <v>23</v>
      </c>
      <c r="O476" t="str">
        <f>TEXT(InputData[[#This Row],[DATE]],"mmm")</f>
        <v>Oct</v>
      </c>
      <c r="P476">
        <f>YEAR(InputData[[#This Row],[DATE]])</f>
        <v>2022</v>
      </c>
    </row>
    <row r="477" spans="1:16" x14ac:dyDescent="0.3">
      <c r="A477" s="3">
        <v>44864</v>
      </c>
      <c r="B477" s="4" t="s">
        <v>94</v>
      </c>
      <c r="C477" s="5">
        <v>3</v>
      </c>
      <c r="D477" s="5" t="s">
        <v>108</v>
      </c>
      <c r="E477" s="5" t="s">
        <v>107</v>
      </c>
      <c r="F477" s="6">
        <v>0</v>
      </c>
      <c r="G477" t="str">
        <f>VLOOKUP(InputData[[#This Row],[PRODUCT ID]],MasterData[],2,)</f>
        <v>Product42</v>
      </c>
      <c r="H477" t="str">
        <f>VLOOKUP(InputData[[#This Row],[PRODUCT ID]],MasterData[],3,)</f>
        <v>Category05</v>
      </c>
      <c r="I477" t="str">
        <f>VLOOKUP(InputData[[#This Row],[PRODUCT ID]],MasterData[],4,)</f>
        <v>Ft</v>
      </c>
      <c r="J477" s="7">
        <f>VLOOKUP(InputData[[#This Row],[PRODUCT ID]],MasterData[],5,)</f>
        <v>120</v>
      </c>
      <c r="K477" s="7">
        <f>VLOOKUP(InputData[[#This Row],[PRODUCT ID]],MasterData[],6,)</f>
        <v>162</v>
      </c>
      <c r="L477" s="7">
        <f>InputData[[#This Row],[BUYING PRIZE]]*InputData[[#This Row],[QUANTITY]]</f>
        <v>360</v>
      </c>
      <c r="M477" s="7">
        <f>InputData[[#This Row],[SELLING PRICE]]*InputData[[#This Row],[QUANTITY]]*(1-InputData[[#This Row],[DISCOUNT %]])</f>
        <v>486</v>
      </c>
      <c r="N477">
        <f>DAY(InputData[[#This Row],[DATE]])</f>
        <v>30</v>
      </c>
      <c r="O477" t="str">
        <f>TEXT(InputData[[#This Row],[DATE]],"mmm")</f>
        <v>Oct</v>
      </c>
      <c r="P477">
        <f>YEAR(InputData[[#This Row],[DATE]])</f>
        <v>2022</v>
      </c>
    </row>
    <row r="478" spans="1:16" x14ac:dyDescent="0.3">
      <c r="A478" s="3">
        <v>44865</v>
      </c>
      <c r="B478" s="4" t="s">
        <v>86</v>
      </c>
      <c r="C478" s="5">
        <v>8</v>
      </c>
      <c r="D478" s="5" t="s">
        <v>108</v>
      </c>
      <c r="E478" s="5" t="s">
        <v>106</v>
      </c>
      <c r="F478" s="6">
        <v>0</v>
      </c>
      <c r="G478" t="str">
        <f>VLOOKUP(InputData[[#This Row],[PRODUCT ID]],MasterData[],2,)</f>
        <v>Product38</v>
      </c>
      <c r="H478" t="str">
        <f>VLOOKUP(InputData[[#This Row],[PRODUCT ID]],MasterData[],3,)</f>
        <v>Category05</v>
      </c>
      <c r="I478" t="str">
        <f>VLOOKUP(InputData[[#This Row],[PRODUCT ID]],MasterData[],4,)</f>
        <v>Kg</v>
      </c>
      <c r="J478" s="7">
        <f>VLOOKUP(InputData[[#This Row],[PRODUCT ID]],MasterData[],5,)</f>
        <v>72</v>
      </c>
      <c r="K478" s="7">
        <f>VLOOKUP(InputData[[#This Row],[PRODUCT ID]],MasterData[],6,)</f>
        <v>79.92</v>
      </c>
      <c r="L478" s="7">
        <f>InputData[[#This Row],[BUYING PRIZE]]*InputData[[#This Row],[QUANTITY]]</f>
        <v>576</v>
      </c>
      <c r="M478" s="7">
        <f>InputData[[#This Row],[SELLING PRICE]]*InputData[[#This Row],[QUANTITY]]*(1-InputData[[#This Row],[DISCOUNT %]])</f>
        <v>639.36</v>
      </c>
      <c r="N478">
        <f>DAY(InputData[[#This Row],[DATE]])</f>
        <v>31</v>
      </c>
      <c r="O478" t="str">
        <f>TEXT(InputData[[#This Row],[DATE]],"mmm")</f>
        <v>Oct</v>
      </c>
      <c r="P478">
        <f>YEAR(InputData[[#This Row],[DATE]])</f>
        <v>2022</v>
      </c>
    </row>
    <row r="479" spans="1:16" x14ac:dyDescent="0.3">
      <c r="A479" s="3">
        <v>44866</v>
      </c>
      <c r="B479" s="4" t="s">
        <v>31</v>
      </c>
      <c r="C479" s="5">
        <v>15</v>
      </c>
      <c r="D479" s="5" t="s">
        <v>105</v>
      </c>
      <c r="E479" s="5" t="s">
        <v>106</v>
      </c>
      <c r="F479" s="6">
        <v>0</v>
      </c>
      <c r="G479" t="str">
        <f>VLOOKUP(InputData[[#This Row],[PRODUCT ID]],MasterData[],2,)</f>
        <v>Product12</v>
      </c>
      <c r="H479" t="str">
        <f>VLOOKUP(InputData[[#This Row],[PRODUCT ID]],MasterData[],3,)</f>
        <v>Category02</v>
      </c>
      <c r="I479" t="str">
        <f>VLOOKUP(InputData[[#This Row],[PRODUCT ID]],MasterData[],4,)</f>
        <v>Kg</v>
      </c>
      <c r="J479" s="7">
        <f>VLOOKUP(InputData[[#This Row],[PRODUCT ID]],MasterData[],5,)</f>
        <v>73</v>
      </c>
      <c r="K479" s="7">
        <f>VLOOKUP(InputData[[#This Row],[PRODUCT ID]],MasterData[],6,)</f>
        <v>94.17</v>
      </c>
      <c r="L479" s="7">
        <f>InputData[[#This Row],[BUYING PRIZE]]*InputData[[#This Row],[QUANTITY]]</f>
        <v>1095</v>
      </c>
      <c r="M479" s="7">
        <f>InputData[[#This Row],[SELLING PRICE]]*InputData[[#This Row],[QUANTITY]]*(1-InputData[[#This Row],[DISCOUNT %]])</f>
        <v>1412.55</v>
      </c>
      <c r="N479">
        <f>DAY(InputData[[#This Row],[DATE]])</f>
        <v>1</v>
      </c>
      <c r="O479" t="str">
        <f>TEXT(InputData[[#This Row],[DATE]],"mmm")</f>
        <v>Nov</v>
      </c>
      <c r="P479">
        <f>YEAR(InputData[[#This Row],[DATE]])</f>
        <v>2022</v>
      </c>
    </row>
    <row r="480" spans="1:16" x14ac:dyDescent="0.3">
      <c r="A480" s="3">
        <v>44867</v>
      </c>
      <c r="B480" s="4" t="s">
        <v>37</v>
      </c>
      <c r="C480" s="5">
        <v>15</v>
      </c>
      <c r="D480" s="5" t="s">
        <v>105</v>
      </c>
      <c r="E480" s="5" t="s">
        <v>107</v>
      </c>
      <c r="F480" s="6">
        <v>0</v>
      </c>
      <c r="G480" t="str">
        <f>VLOOKUP(InputData[[#This Row],[PRODUCT ID]],MasterData[],2,)</f>
        <v>Product15</v>
      </c>
      <c r="H480" t="str">
        <f>VLOOKUP(InputData[[#This Row],[PRODUCT ID]],MasterData[],3,)</f>
        <v>Category02</v>
      </c>
      <c r="I480" t="str">
        <f>VLOOKUP(InputData[[#This Row],[PRODUCT ID]],MasterData[],4,)</f>
        <v>No.</v>
      </c>
      <c r="J480" s="7">
        <f>VLOOKUP(InputData[[#This Row],[PRODUCT ID]],MasterData[],5,)</f>
        <v>12</v>
      </c>
      <c r="K480" s="7">
        <f>VLOOKUP(InputData[[#This Row],[PRODUCT ID]],MasterData[],6,)</f>
        <v>15.719999999999999</v>
      </c>
      <c r="L480" s="7">
        <f>InputData[[#This Row],[BUYING PRIZE]]*InputData[[#This Row],[QUANTITY]]</f>
        <v>180</v>
      </c>
      <c r="M480" s="7">
        <f>InputData[[#This Row],[SELLING PRICE]]*InputData[[#This Row],[QUANTITY]]*(1-InputData[[#This Row],[DISCOUNT %]])</f>
        <v>235.79999999999998</v>
      </c>
      <c r="N480">
        <f>DAY(InputData[[#This Row],[DATE]])</f>
        <v>2</v>
      </c>
      <c r="O480" t="str">
        <f>TEXT(InputData[[#This Row],[DATE]],"mmm")</f>
        <v>Nov</v>
      </c>
      <c r="P480">
        <f>YEAR(InputData[[#This Row],[DATE]])</f>
        <v>2022</v>
      </c>
    </row>
    <row r="481" spans="1:16" x14ac:dyDescent="0.3">
      <c r="A481" s="3">
        <v>44867</v>
      </c>
      <c r="B481" s="4" t="s">
        <v>69</v>
      </c>
      <c r="C481" s="5">
        <v>15</v>
      </c>
      <c r="D481" s="5" t="s">
        <v>108</v>
      </c>
      <c r="E481" s="5" t="s">
        <v>107</v>
      </c>
      <c r="F481" s="6">
        <v>0</v>
      </c>
      <c r="G481" t="str">
        <f>VLOOKUP(InputData[[#This Row],[PRODUCT ID]],MasterData[],2,)</f>
        <v>Product30</v>
      </c>
      <c r="H481" t="str">
        <f>VLOOKUP(InputData[[#This Row],[PRODUCT ID]],MasterData[],3,)</f>
        <v>Category04</v>
      </c>
      <c r="I481" t="str">
        <f>VLOOKUP(InputData[[#This Row],[PRODUCT ID]],MasterData[],4,)</f>
        <v>Ft</v>
      </c>
      <c r="J481" s="7">
        <f>VLOOKUP(InputData[[#This Row],[PRODUCT ID]],MasterData[],5,)</f>
        <v>148</v>
      </c>
      <c r="K481" s="7">
        <f>VLOOKUP(InputData[[#This Row],[PRODUCT ID]],MasterData[],6,)</f>
        <v>201.28</v>
      </c>
      <c r="L481" s="7">
        <f>InputData[[#This Row],[BUYING PRIZE]]*InputData[[#This Row],[QUANTITY]]</f>
        <v>2220</v>
      </c>
      <c r="M481" s="7">
        <f>InputData[[#This Row],[SELLING PRICE]]*InputData[[#This Row],[QUANTITY]]*(1-InputData[[#This Row],[DISCOUNT %]])</f>
        <v>3019.2</v>
      </c>
      <c r="N481">
        <f>DAY(InputData[[#This Row],[DATE]])</f>
        <v>2</v>
      </c>
      <c r="O481" t="str">
        <f>TEXT(InputData[[#This Row],[DATE]],"mmm")</f>
        <v>Nov</v>
      </c>
      <c r="P481">
        <f>YEAR(InputData[[#This Row],[DATE]])</f>
        <v>2022</v>
      </c>
    </row>
    <row r="482" spans="1:16" x14ac:dyDescent="0.3">
      <c r="A482" s="3">
        <v>44867</v>
      </c>
      <c r="B482" s="4" t="s">
        <v>79</v>
      </c>
      <c r="C482" s="5">
        <v>5</v>
      </c>
      <c r="D482" s="5" t="s">
        <v>108</v>
      </c>
      <c r="E482" s="5" t="s">
        <v>107</v>
      </c>
      <c r="F482" s="6">
        <v>0</v>
      </c>
      <c r="G482" t="str">
        <f>VLOOKUP(InputData[[#This Row],[PRODUCT ID]],MasterData[],2,)</f>
        <v>Product35</v>
      </c>
      <c r="H482" t="str">
        <f>VLOOKUP(InputData[[#This Row],[PRODUCT ID]],MasterData[],3,)</f>
        <v>Category04</v>
      </c>
      <c r="I482" t="str">
        <f>VLOOKUP(InputData[[#This Row],[PRODUCT ID]],MasterData[],4,)</f>
        <v>No.</v>
      </c>
      <c r="J482" s="7">
        <f>VLOOKUP(InputData[[#This Row],[PRODUCT ID]],MasterData[],5,)</f>
        <v>5</v>
      </c>
      <c r="K482" s="7">
        <f>VLOOKUP(InputData[[#This Row],[PRODUCT ID]],MasterData[],6,)</f>
        <v>6.7</v>
      </c>
      <c r="L482" s="7">
        <f>InputData[[#This Row],[BUYING PRIZE]]*InputData[[#This Row],[QUANTITY]]</f>
        <v>25</v>
      </c>
      <c r="M482" s="7">
        <f>InputData[[#This Row],[SELLING PRICE]]*InputData[[#This Row],[QUANTITY]]*(1-InputData[[#This Row],[DISCOUNT %]])</f>
        <v>33.5</v>
      </c>
      <c r="N482">
        <f>DAY(InputData[[#This Row],[DATE]])</f>
        <v>2</v>
      </c>
      <c r="O482" t="str">
        <f>TEXT(InputData[[#This Row],[DATE]],"mmm")</f>
        <v>Nov</v>
      </c>
      <c r="P482">
        <f>YEAR(InputData[[#This Row],[DATE]])</f>
        <v>2022</v>
      </c>
    </row>
    <row r="483" spans="1:16" x14ac:dyDescent="0.3">
      <c r="A483" s="3">
        <v>44868</v>
      </c>
      <c r="B483" s="4" t="s">
        <v>47</v>
      </c>
      <c r="C483" s="5">
        <v>11</v>
      </c>
      <c r="D483" s="5" t="s">
        <v>106</v>
      </c>
      <c r="E483" s="5" t="s">
        <v>106</v>
      </c>
      <c r="F483" s="6">
        <v>0</v>
      </c>
      <c r="G483" t="str">
        <f>VLOOKUP(InputData[[#This Row],[PRODUCT ID]],MasterData[],2,)</f>
        <v>Product20</v>
      </c>
      <c r="H483" t="str">
        <f>VLOOKUP(InputData[[#This Row],[PRODUCT ID]],MasterData[],3,)</f>
        <v>Category03</v>
      </c>
      <c r="I483" t="str">
        <f>VLOOKUP(InputData[[#This Row],[PRODUCT ID]],MasterData[],4,)</f>
        <v>Lt</v>
      </c>
      <c r="J483" s="7">
        <f>VLOOKUP(InputData[[#This Row],[PRODUCT ID]],MasterData[],5,)</f>
        <v>61</v>
      </c>
      <c r="K483" s="7">
        <f>VLOOKUP(InputData[[#This Row],[PRODUCT ID]],MasterData[],6,)</f>
        <v>76.25</v>
      </c>
      <c r="L483" s="7">
        <f>InputData[[#This Row],[BUYING PRIZE]]*InputData[[#This Row],[QUANTITY]]</f>
        <v>671</v>
      </c>
      <c r="M483" s="7">
        <f>InputData[[#This Row],[SELLING PRICE]]*InputData[[#This Row],[QUANTITY]]*(1-InputData[[#This Row],[DISCOUNT %]])</f>
        <v>838.75</v>
      </c>
      <c r="N483">
        <f>DAY(InputData[[#This Row],[DATE]])</f>
        <v>3</v>
      </c>
      <c r="O483" t="str">
        <f>TEXT(InputData[[#This Row],[DATE]],"mmm")</f>
        <v>Nov</v>
      </c>
      <c r="P483">
        <f>YEAR(InputData[[#This Row],[DATE]])</f>
        <v>2022</v>
      </c>
    </row>
    <row r="484" spans="1:16" x14ac:dyDescent="0.3">
      <c r="A484" s="3">
        <v>44869</v>
      </c>
      <c r="B484" s="4" t="s">
        <v>22</v>
      </c>
      <c r="C484" s="5">
        <v>10</v>
      </c>
      <c r="D484" s="5" t="s">
        <v>108</v>
      </c>
      <c r="E484" s="5" t="s">
        <v>106</v>
      </c>
      <c r="F484" s="6">
        <v>0</v>
      </c>
      <c r="G484" t="str">
        <f>VLOOKUP(InputData[[#This Row],[PRODUCT ID]],MasterData[],2,)</f>
        <v>Product08</v>
      </c>
      <c r="H484" t="str">
        <f>VLOOKUP(InputData[[#This Row],[PRODUCT ID]],MasterData[],3,)</f>
        <v>Category01</v>
      </c>
      <c r="I484" t="str">
        <f>VLOOKUP(InputData[[#This Row],[PRODUCT ID]],MasterData[],4,)</f>
        <v>Kg</v>
      </c>
      <c r="J484" s="7">
        <f>VLOOKUP(InputData[[#This Row],[PRODUCT ID]],MasterData[],5,)</f>
        <v>83</v>
      </c>
      <c r="K484" s="7">
        <f>VLOOKUP(InputData[[#This Row],[PRODUCT ID]],MasterData[],6,)</f>
        <v>94.62</v>
      </c>
      <c r="L484" s="7">
        <f>InputData[[#This Row],[BUYING PRIZE]]*InputData[[#This Row],[QUANTITY]]</f>
        <v>830</v>
      </c>
      <c r="M484" s="7">
        <f>InputData[[#This Row],[SELLING PRICE]]*InputData[[#This Row],[QUANTITY]]*(1-InputData[[#This Row],[DISCOUNT %]])</f>
        <v>946.2</v>
      </c>
      <c r="N484">
        <f>DAY(InputData[[#This Row],[DATE]])</f>
        <v>4</v>
      </c>
      <c r="O484" t="str">
        <f>TEXT(InputData[[#This Row],[DATE]],"mmm")</f>
        <v>Nov</v>
      </c>
      <c r="P484">
        <f>YEAR(InputData[[#This Row],[DATE]])</f>
        <v>2022</v>
      </c>
    </row>
    <row r="485" spans="1:16" x14ac:dyDescent="0.3">
      <c r="A485" s="3">
        <v>44870</v>
      </c>
      <c r="B485" s="4" t="s">
        <v>45</v>
      </c>
      <c r="C485" s="5">
        <v>15</v>
      </c>
      <c r="D485" s="5" t="s">
        <v>108</v>
      </c>
      <c r="E485" s="5" t="s">
        <v>107</v>
      </c>
      <c r="F485" s="6">
        <v>0</v>
      </c>
      <c r="G485" t="str">
        <f>VLOOKUP(InputData[[#This Row],[PRODUCT ID]],MasterData[],2,)</f>
        <v>Product19</v>
      </c>
      <c r="H485" t="str">
        <f>VLOOKUP(InputData[[#This Row],[PRODUCT ID]],MasterData[],3,)</f>
        <v>Category02</v>
      </c>
      <c r="I485" t="str">
        <f>VLOOKUP(InputData[[#This Row],[PRODUCT ID]],MasterData[],4,)</f>
        <v>Ft</v>
      </c>
      <c r="J485" s="7">
        <f>VLOOKUP(InputData[[#This Row],[PRODUCT ID]],MasterData[],5,)</f>
        <v>150</v>
      </c>
      <c r="K485" s="7">
        <f>VLOOKUP(InputData[[#This Row],[PRODUCT ID]],MasterData[],6,)</f>
        <v>210</v>
      </c>
      <c r="L485" s="7">
        <f>InputData[[#This Row],[BUYING PRIZE]]*InputData[[#This Row],[QUANTITY]]</f>
        <v>2250</v>
      </c>
      <c r="M485" s="7">
        <f>InputData[[#This Row],[SELLING PRICE]]*InputData[[#This Row],[QUANTITY]]*(1-InputData[[#This Row],[DISCOUNT %]])</f>
        <v>3150</v>
      </c>
      <c r="N485">
        <f>DAY(InputData[[#This Row],[DATE]])</f>
        <v>5</v>
      </c>
      <c r="O485" t="str">
        <f>TEXT(InputData[[#This Row],[DATE]],"mmm")</f>
        <v>Nov</v>
      </c>
      <c r="P485">
        <f>YEAR(InputData[[#This Row],[DATE]])</f>
        <v>2022</v>
      </c>
    </row>
    <row r="486" spans="1:16" x14ac:dyDescent="0.3">
      <c r="A486" s="3">
        <v>44871</v>
      </c>
      <c r="B486" s="4" t="s">
        <v>96</v>
      </c>
      <c r="C486" s="5">
        <v>13</v>
      </c>
      <c r="D486" s="5" t="s">
        <v>108</v>
      </c>
      <c r="E486" s="5" t="s">
        <v>107</v>
      </c>
      <c r="F486" s="6">
        <v>0</v>
      </c>
      <c r="G486" t="str">
        <f>VLOOKUP(InputData[[#This Row],[PRODUCT ID]],MasterData[],2,)</f>
        <v>Product43</v>
      </c>
      <c r="H486" t="str">
        <f>VLOOKUP(InputData[[#This Row],[PRODUCT ID]],MasterData[],3,)</f>
        <v>Category05</v>
      </c>
      <c r="I486" t="str">
        <f>VLOOKUP(InputData[[#This Row],[PRODUCT ID]],MasterData[],4,)</f>
        <v>Kg</v>
      </c>
      <c r="J486" s="7">
        <f>VLOOKUP(InputData[[#This Row],[PRODUCT ID]],MasterData[],5,)</f>
        <v>67</v>
      </c>
      <c r="K486" s="7">
        <f>VLOOKUP(InputData[[#This Row],[PRODUCT ID]],MasterData[],6,)</f>
        <v>83.08</v>
      </c>
      <c r="L486" s="7">
        <f>InputData[[#This Row],[BUYING PRIZE]]*InputData[[#This Row],[QUANTITY]]</f>
        <v>871</v>
      </c>
      <c r="M486" s="7">
        <f>InputData[[#This Row],[SELLING PRICE]]*InputData[[#This Row],[QUANTITY]]*(1-InputData[[#This Row],[DISCOUNT %]])</f>
        <v>1080.04</v>
      </c>
      <c r="N486">
        <f>DAY(InputData[[#This Row],[DATE]])</f>
        <v>6</v>
      </c>
      <c r="O486" t="str">
        <f>TEXT(InputData[[#This Row],[DATE]],"mmm")</f>
        <v>Nov</v>
      </c>
      <c r="P486">
        <f>YEAR(InputData[[#This Row],[DATE]])</f>
        <v>2022</v>
      </c>
    </row>
    <row r="487" spans="1:16" x14ac:dyDescent="0.3">
      <c r="A487" s="3">
        <v>44871</v>
      </c>
      <c r="B487" s="4" t="s">
        <v>37</v>
      </c>
      <c r="C487" s="5">
        <v>13</v>
      </c>
      <c r="D487" s="5" t="s">
        <v>106</v>
      </c>
      <c r="E487" s="5" t="s">
        <v>106</v>
      </c>
      <c r="F487" s="6">
        <v>0</v>
      </c>
      <c r="G487" t="str">
        <f>VLOOKUP(InputData[[#This Row],[PRODUCT ID]],MasterData[],2,)</f>
        <v>Product15</v>
      </c>
      <c r="H487" t="str">
        <f>VLOOKUP(InputData[[#This Row],[PRODUCT ID]],MasterData[],3,)</f>
        <v>Category02</v>
      </c>
      <c r="I487" t="str">
        <f>VLOOKUP(InputData[[#This Row],[PRODUCT ID]],MasterData[],4,)</f>
        <v>No.</v>
      </c>
      <c r="J487" s="7">
        <f>VLOOKUP(InputData[[#This Row],[PRODUCT ID]],MasterData[],5,)</f>
        <v>12</v>
      </c>
      <c r="K487" s="7">
        <f>VLOOKUP(InputData[[#This Row],[PRODUCT ID]],MasterData[],6,)</f>
        <v>15.719999999999999</v>
      </c>
      <c r="L487" s="7">
        <f>InputData[[#This Row],[BUYING PRIZE]]*InputData[[#This Row],[QUANTITY]]</f>
        <v>156</v>
      </c>
      <c r="M487" s="7">
        <f>InputData[[#This Row],[SELLING PRICE]]*InputData[[#This Row],[QUANTITY]]*(1-InputData[[#This Row],[DISCOUNT %]])</f>
        <v>204.35999999999999</v>
      </c>
      <c r="N487">
        <f>DAY(InputData[[#This Row],[DATE]])</f>
        <v>6</v>
      </c>
      <c r="O487" t="str">
        <f>TEXT(InputData[[#This Row],[DATE]],"mmm")</f>
        <v>Nov</v>
      </c>
      <c r="P487">
        <f>YEAR(InputData[[#This Row],[DATE]])</f>
        <v>2022</v>
      </c>
    </row>
    <row r="488" spans="1:16" x14ac:dyDescent="0.3">
      <c r="A488" s="3">
        <v>44871</v>
      </c>
      <c r="B488" s="4" t="s">
        <v>94</v>
      </c>
      <c r="C488" s="5">
        <v>13</v>
      </c>
      <c r="D488" s="5" t="s">
        <v>108</v>
      </c>
      <c r="E488" s="5" t="s">
        <v>107</v>
      </c>
      <c r="F488" s="6">
        <v>0</v>
      </c>
      <c r="G488" t="str">
        <f>VLOOKUP(InputData[[#This Row],[PRODUCT ID]],MasterData[],2,)</f>
        <v>Product42</v>
      </c>
      <c r="H488" t="str">
        <f>VLOOKUP(InputData[[#This Row],[PRODUCT ID]],MasterData[],3,)</f>
        <v>Category05</v>
      </c>
      <c r="I488" t="str">
        <f>VLOOKUP(InputData[[#This Row],[PRODUCT ID]],MasterData[],4,)</f>
        <v>Ft</v>
      </c>
      <c r="J488" s="7">
        <f>VLOOKUP(InputData[[#This Row],[PRODUCT ID]],MasterData[],5,)</f>
        <v>120</v>
      </c>
      <c r="K488" s="7">
        <f>VLOOKUP(InputData[[#This Row],[PRODUCT ID]],MasterData[],6,)</f>
        <v>162</v>
      </c>
      <c r="L488" s="7">
        <f>InputData[[#This Row],[BUYING PRIZE]]*InputData[[#This Row],[QUANTITY]]</f>
        <v>1560</v>
      </c>
      <c r="M488" s="7">
        <f>InputData[[#This Row],[SELLING PRICE]]*InputData[[#This Row],[QUANTITY]]*(1-InputData[[#This Row],[DISCOUNT %]])</f>
        <v>2106</v>
      </c>
      <c r="N488">
        <f>DAY(InputData[[#This Row],[DATE]])</f>
        <v>6</v>
      </c>
      <c r="O488" t="str">
        <f>TEXT(InputData[[#This Row],[DATE]],"mmm")</f>
        <v>Nov</v>
      </c>
      <c r="P488">
        <f>YEAR(InputData[[#This Row],[DATE]])</f>
        <v>2022</v>
      </c>
    </row>
    <row r="489" spans="1:16" x14ac:dyDescent="0.3">
      <c r="A489" s="3">
        <v>44872</v>
      </c>
      <c r="B489" s="4" t="s">
        <v>90</v>
      </c>
      <c r="C489" s="5">
        <v>13</v>
      </c>
      <c r="D489" s="5" t="s">
        <v>106</v>
      </c>
      <c r="E489" s="5" t="s">
        <v>107</v>
      </c>
      <c r="F489" s="6">
        <v>0</v>
      </c>
      <c r="G489" t="str">
        <f>VLOOKUP(InputData[[#This Row],[PRODUCT ID]],MasterData[],2,)</f>
        <v>Product40</v>
      </c>
      <c r="H489" t="str">
        <f>VLOOKUP(InputData[[#This Row],[PRODUCT ID]],MasterData[],3,)</f>
        <v>Category05</v>
      </c>
      <c r="I489" t="str">
        <f>VLOOKUP(InputData[[#This Row],[PRODUCT ID]],MasterData[],4,)</f>
        <v>Kg</v>
      </c>
      <c r="J489" s="7">
        <f>VLOOKUP(InputData[[#This Row],[PRODUCT ID]],MasterData[],5,)</f>
        <v>90</v>
      </c>
      <c r="K489" s="7">
        <f>VLOOKUP(InputData[[#This Row],[PRODUCT ID]],MasterData[],6,)</f>
        <v>115.2</v>
      </c>
      <c r="L489" s="7">
        <f>InputData[[#This Row],[BUYING PRIZE]]*InputData[[#This Row],[QUANTITY]]</f>
        <v>1170</v>
      </c>
      <c r="M489" s="7">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3">
      <c r="A490" s="3">
        <v>44873</v>
      </c>
      <c r="B490" s="4" t="s">
        <v>81</v>
      </c>
      <c r="C490" s="5">
        <v>11</v>
      </c>
      <c r="D490" s="5" t="s">
        <v>105</v>
      </c>
      <c r="E490" s="5" t="s">
        <v>107</v>
      </c>
      <c r="F490" s="6">
        <v>0</v>
      </c>
      <c r="G490" t="str">
        <f>VLOOKUP(InputData[[#This Row],[PRODUCT ID]],MasterData[],2,)</f>
        <v>Product36</v>
      </c>
      <c r="H490" t="str">
        <f>VLOOKUP(InputData[[#This Row],[PRODUCT ID]],MasterData[],3,)</f>
        <v>Category04</v>
      </c>
      <c r="I490" t="str">
        <f>VLOOKUP(InputData[[#This Row],[PRODUCT ID]],MasterData[],4,)</f>
        <v>Kg</v>
      </c>
      <c r="J490" s="7">
        <f>VLOOKUP(InputData[[#This Row],[PRODUCT ID]],MasterData[],5,)</f>
        <v>90</v>
      </c>
      <c r="K490" s="7">
        <f>VLOOKUP(InputData[[#This Row],[PRODUCT ID]],MasterData[],6,)</f>
        <v>96.3</v>
      </c>
      <c r="L490" s="7">
        <f>InputData[[#This Row],[BUYING PRIZE]]*InputData[[#This Row],[QUANTITY]]</f>
        <v>990</v>
      </c>
      <c r="M490" s="7">
        <f>InputData[[#This Row],[SELLING PRICE]]*InputData[[#This Row],[QUANTITY]]*(1-InputData[[#This Row],[DISCOUNT %]])</f>
        <v>1059.3</v>
      </c>
      <c r="N490">
        <f>DAY(InputData[[#This Row],[DATE]])</f>
        <v>8</v>
      </c>
      <c r="O490" t="str">
        <f>TEXT(InputData[[#This Row],[DATE]],"mmm")</f>
        <v>Nov</v>
      </c>
      <c r="P490">
        <f>YEAR(InputData[[#This Row],[DATE]])</f>
        <v>2022</v>
      </c>
    </row>
    <row r="491" spans="1:16" x14ac:dyDescent="0.3">
      <c r="A491" s="3">
        <v>44873</v>
      </c>
      <c r="B491" s="4" t="s">
        <v>45</v>
      </c>
      <c r="C491" s="5">
        <v>10</v>
      </c>
      <c r="D491" s="5" t="s">
        <v>105</v>
      </c>
      <c r="E491" s="5" t="s">
        <v>106</v>
      </c>
      <c r="F491" s="6">
        <v>0</v>
      </c>
      <c r="G491" t="str">
        <f>VLOOKUP(InputData[[#This Row],[PRODUCT ID]],MasterData[],2,)</f>
        <v>Product19</v>
      </c>
      <c r="H491" t="str">
        <f>VLOOKUP(InputData[[#This Row],[PRODUCT ID]],MasterData[],3,)</f>
        <v>Category02</v>
      </c>
      <c r="I491" t="str">
        <f>VLOOKUP(InputData[[#This Row],[PRODUCT ID]],MasterData[],4,)</f>
        <v>Ft</v>
      </c>
      <c r="J491" s="7">
        <f>VLOOKUP(InputData[[#This Row],[PRODUCT ID]],MasterData[],5,)</f>
        <v>150</v>
      </c>
      <c r="K491" s="7">
        <f>VLOOKUP(InputData[[#This Row],[PRODUCT ID]],MasterData[],6,)</f>
        <v>210</v>
      </c>
      <c r="L491" s="7">
        <f>InputData[[#This Row],[BUYING PRIZE]]*InputData[[#This Row],[QUANTITY]]</f>
        <v>1500</v>
      </c>
      <c r="M491" s="7">
        <f>InputData[[#This Row],[SELLING PRICE]]*InputData[[#This Row],[QUANTITY]]*(1-InputData[[#This Row],[DISCOUNT %]])</f>
        <v>2100</v>
      </c>
      <c r="N491">
        <f>DAY(InputData[[#This Row],[DATE]])</f>
        <v>8</v>
      </c>
      <c r="O491" t="str">
        <f>TEXT(InputData[[#This Row],[DATE]],"mmm")</f>
        <v>Nov</v>
      </c>
      <c r="P491">
        <f>YEAR(InputData[[#This Row],[DATE]])</f>
        <v>2022</v>
      </c>
    </row>
    <row r="492" spans="1:16" x14ac:dyDescent="0.3">
      <c r="A492" s="3">
        <v>44874</v>
      </c>
      <c r="B492" s="4" t="s">
        <v>63</v>
      </c>
      <c r="C492" s="5">
        <v>8</v>
      </c>
      <c r="D492" s="5" t="s">
        <v>106</v>
      </c>
      <c r="E492" s="5" t="s">
        <v>107</v>
      </c>
      <c r="F492" s="6">
        <v>0</v>
      </c>
      <c r="G492" t="str">
        <f>VLOOKUP(InputData[[#This Row],[PRODUCT ID]],MasterData[],2,)</f>
        <v>Product27</v>
      </c>
      <c r="H492" t="str">
        <f>VLOOKUP(InputData[[#This Row],[PRODUCT ID]],MasterData[],3,)</f>
        <v>Category04</v>
      </c>
      <c r="I492" t="str">
        <f>VLOOKUP(InputData[[#This Row],[PRODUCT ID]],MasterData[],4,)</f>
        <v>Lt</v>
      </c>
      <c r="J492" s="7">
        <f>VLOOKUP(InputData[[#This Row],[PRODUCT ID]],MasterData[],5,)</f>
        <v>48</v>
      </c>
      <c r="K492" s="7">
        <f>VLOOKUP(InputData[[#This Row],[PRODUCT ID]],MasterData[],6,)</f>
        <v>57.120000000000005</v>
      </c>
      <c r="L492" s="7">
        <f>InputData[[#This Row],[BUYING PRIZE]]*InputData[[#This Row],[QUANTITY]]</f>
        <v>384</v>
      </c>
      <c r="M492" s="7">
        <f>InputData[[#This Row],[SELLING PRICE]]*InputData[[#This Row],[QUANTITY]]*(1-InputData[[#This Row],[DISCOUNT %]])</f>
        <v>456.96000000000004</v>
      </c>
      <c r="N492">
        <f>DAY(InputData[[#This Row],[DATE]])</f>
        <v>9</v>
      </c>
      <c r="O492" t="str">
        <f>TEXT(InputData[[#This Row],[DATE]],"mmm")</f>
        <v>Nov</v>
      </c>
      <c r="P492">
        <f>YEAR(InputData[[#This Row],[DATE]])</f>
        <v>2022</v>
      </c>
    </row>
    <row r="493" spans="1:16" x14ac:dyDescent="0.3">
      <c r="A493" s="3">
        <v>44875</v>
      </c>
      <c r="B493" s="4" t="s">
        <v>43</v>
      </c>
      <c r="C493" s="5">
        <v>7</v>
      </c>
      <c r="D493" s="5" t="s">
        <v>108</v>
      </c>
      <c r="E493" s="5" t="s">
        <v>106</v>
      </c>
      <c r="F493" s="6">
        <v>0</v>
      </c>
      <c r="G493" t="str">
        <f>VLOOKUP(InputData[[#This Row],[PRODUCT ID]],MasterData[],2,)</f>
        <v>Product18</v>
      </c>
      <c r="H493" t="str">
        <f>VLOOKUP(InputData[[#This Row],[PRODUCT ID]],MasterData[],3,)</f>
        <v>Category02</v>
      </c>
      <c r="I493" t="str">
        <f>VLOOKUP(InputData[[#This Row],[PRODUCT ID]],MasterData[],4,)</f>
        <v>No.</v>
      </c>
      <c r="J493" s="7">
        <f>VLOOKUP(InputData[[#This Row],[PRODUCT ID]],MasterData[],5,)</f>
        <v>37</v>
      </c>
      <c r="K493" s="7">
        <f>VLOOKUP(InputData[[#This Row],[PRODUCT ID]],MasterData[],6,)</f>
        <v>49.21</v>
      </c>
      <c r="L493" s="7">
        <f>InputData[[#This Row],[BUYING PRIZE]]*InputData[[#This Row],[QUANTITY]]</f>
        <v>259</v>
      </c>
      <c r="M493" s="7">
        <f>InputData[[#This Row],[SELLING PRICE]]*InputData[[#This Row],[QUANTITY]]*(1-InputData[[#This Row],[DISCOUNT %]])</f>
        <v>344.47</v>
      </c>
      <c r="N493">
        <f>DAY(InputData[[#This Row],[DATE]])</f>
        <v>10</v>
      </c>
      <c r="O493" t="str">
        <f>TEXT(InputData[[#This Row],[DATE]],"mmm")</f>
        <v>Nov</v>
      </c>
      <c r="P493">
        <f>YEAR(InputData[[#This Row],[DATE]])</f>
        <v>2022</v>
      </c>
    </row>
    <row r="494" spans="1:16" x14ac:dyDescent="0.3">
      <c r="A494" s="3">
        <v>44878</v>
      </c>
      <c r="B494" s="4" t="s">
        <v>63</v>
      </c>
      <c r="C494" s="5">
        <v>10</v>
      </c>
      <c r="D494" s="5" t="s">
        <v>105</v>
      </c>
      <c r="E494" s="5" t="s">
        <v>107</v>
      </c>
      <c r="F494" s="6">
        <v>0</v>
      </c>
      <c r="G494" t="str">
        <f>VLOOKUP(InputData[[#This Row],[PRODUCT ID]],MasterData[],2,)</f>
        <v>Product27</v>
      </c>
      <c r="H494" t="str">
        <f>VLOOKUP(InputData[[#This Row],[PRODUCT ID]],MasterData[],3,)</f>
        <v>Category04</v>
      </c>
      <c r="I494" t="str">
        <f>VLOOKUP(InputData[[#This Row],[PRODUCT ID]],MasterData[],4,)</f>
        <v>Lt</v>
      </c>
      <c r="J494" s="7">
        <f>VLOOKUP(InputData[[#This Row],[PRODUCT ID]],MasterData[],5,)</f>
        <v>48</v>
      </c>
      <c r="K494" s="7">
        <f>VLOOKUP(InputData[[#This Row],[PRODUCT ID]],MasterData[],6,)</f>
        <v>57.120000000000005</v>
      </c>
      <c r="L494" s="7">
        <f>InputData[[#This Row],[BUYING PRIZE]]*InputData[[#This Row],[QUANTITY]]</f>
        <v>480</v>
      </c>
      <c r="M494" s="7">
        <f>InputData[[#This Row],[SELLING PRICE]]*InputData[[#This Row],[QUANTITY]]*(1-InputData[[#This Row],[DISCOUNT %]])</f>
        <v>571.20000000000005</v>
      </c>
      <c r="N494">
        <f>DAY(InputData[[#This Row],[DATE]])</f>
        <v>13</v>
      </c>
      <c r="O494" t="str">
        <f>TEXT(InputData[[#This Row],[DATE]],"mmm")</f>
        <v>Nov</v>
      </c>
      <c r="P494">
        <f>YEAR(InputData[[#This Row],[DATE]])</f>
        <v>2022</v>
      </c>
    </row>
    <row r="495" spans="1:16" x14ac:dyDescent="0.3">
      <c r="A495" s="3">
        <v>44879</v>
      </c>
      <c r="B495" s="4" t="s">
        <v>10</v>
      </c>
      <c r="C495" s="5">
        <v>1</v>
      </c>
      <c r="D495" s="5" t="s">
        <v>108</v>
      </c>
      <c r="E495" s="5" t="s">
        <v>107</v>
      </c>
      <c r="F495" s="6">
        <v>0</v>
      </c>
      <c r="G495" t="str">
        <f>VLOOKUP(InputData[[#This Row],[PRODUCT ID]],MasterData[],2,)</f>
        <v>Product02</v>
      </c>
      <c r="H495" t="str">
        <f>VLOOKUP(InputData[[#This Row],[PRODUCT ID]],MasterData[],3,)</f>
        <v>Category01</v>
      </c>
      <c r="I495" t="str">
        <f>VLOOKUP(InputData[[#This Row],[PRODUCT ID]],MasterData[],4,)</f>
        <v>Kg</v>
      </c>
      <c r="J495" s="7">
        <f>VLOOKUP(InputData[[#This Row],[PRODUCT ID]],MasterData[],5,)</f>
        <v>105</v>
      </c>
      <c r="K495" s="7">
        <f>VLOOKUP(InputData[[#This Row],[PRODUCT ID]],MasterData[],6,)</f>
        <v>142.80000000000001</v>
      </c>
      <c r="L495" s="7">
        <f>InputData[[#This Row],[BUYING PRIZE]]*InputData[[#This Row],[QUANTITY]]</f>
        <v>105</v>
      </c>
      <c r="M495" s="7">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3">
      <c r="A496" s="3">
        <v>44880</v>
      </c>
      <c r="B496" s="4" t="s">
        <v>31</v>
      </c>
      <c r="C496" s="5">
        <v>14</v>
      </c>
      <c r="D496" s="5" t="s">
        <v>108</v>
      </c>
      <c r="E496" s="5" t="s">
        <v>107</v>
      </c>
      <c r="F496" s="6">
        <v>0</v>
      </c>
      <c r="G496" t="str">
        <f>VLOOKUP(InputData[[#This Row],[PRODUCT ID]],MasterData[],2,)</f>
        <v>Product12</v>
      </c>
      <c r="H496" t="str">
        <f>VLOOKUP(InputData[[#This Row],[PRODUCT ID]],MasterData[],3,)</f>
        <v>Category02</v>
      </c>
      <c r="I496" t="str">
        <f>VLOOKUP(InputData[[#This Row],[PRODUCT ID]],MasterData[],4,)</f>
        <v>Kg</v>
      </c>
      <c r="J496" s="7">
        <f>VLOOKUP(InputData[[#This Row],[PRODUCT ID]],MasterData[],5,)</f>
        <v>73</v>
      </c>
      <c r="K496" s="7">
        <f>VLOOKUP(InputData[[#This Row],[PRODUCT ID]],MasterData[],6,)</f>
        <v>94.17</v>
      </c>
      <c r="L496" s="7">
        <f>InputData[[#This Row],[BUYING PRIZE]]*InputData[[#This Row],[QUANTITY]]</f>
        <v>1022</v>
      </c>
      <c r="M496" s="7">
        <f>InputData[[#This Row],[SELLING PRICE]]*InputData[[#This Row],[QUANTITY]]*(1-InputData[[#This Row],[DISCOUNT %]])</f>
        <v>1318.38</v>
      </c>
      <c r="N496">
        <f>DAY(InputData[[#This Row],[DATE]])</f>
        <v>15</v>
      </c>
      <c r="O496" t="str">
        <f>TEXT(InputData[[#This Row],[DATE]],"mmm")</f>
        <v>Nov</v>
      </c>
      <c r="P496">
        <f>YEAR(InputData[[#This Row],[DATE]])</f>
        <v>2022</v>
      </c>
    </row>
    <row r="497" spans="1:16" x14ac:dyDescent="0.3">
      <c r="A497" s="3">
        <v>44881</v>
      </c>
      <c r="B497" s="4" t="s">
        <v>41</v>
      </c>
      <c r="C497" s="5">
        <v>8</v>
      </c>
      <c r="D497" s="5" t="s">
        <v>106</v>
      </c>
      <c r="E497" s="5" t="s">
        <v>106</v>
      </c>
      <c r="F497" s="6">
        <v>0</v>
      </c>
      <c r="G497" t="str">
        <f>VLOOKUP(InputData[[#This Row],[PRODUCT ID]],MasterData[],2,)</f>
        <v>Product17</v>
      </c>
      <c r="H497" t="str">
        <f>VLOOKUP(InputData[[#This Row],[PRODUCT ID]],MasterData[],3,)</f>
        <v>Category02</v>
      </c>
      <c r="I497" t="str">
        <f>VLOOKUP(InputData[[#This Row],[PRODUCT ID]],MasterData[],4,)</f>
        <v>Ft</v>
      </c>
      <c r="J497" s="7">
        <f>VLOOKUP(InputData[[#This Row],[PRODUCT ID]],MasterData[],5,)</f>
        <v>134</v>
      </c>
      <c r="K497" s="7">
        <f>VLOOKUP(InputData[[#This Row],[PRODUCT ID]],MasterData[],6,)</f>
        <v>156.78</v>
      </c>
      <c r="L497" s="7">
        <f>InputData[[#This Row],[BUYING PRIZE]]*InputData[[#This Row],[QUANTITY]]</f>
        <v>1072</v>
      </c>
      <c r="M497" s="7">
        <f>InputData[[#This Row],[SELLING PRICE]]*InputData[[#This Row],[QUANTITY]]*(1-InputData[[#This Row],[DISCOUNT %]])</f>
        <v>1254.24</v>
      </c>
      <c r="N497">
        <f>DAY(InputData[[#This Row],[DATE]])</f>
        <v>16</v>
      </c>
      <c r="O497" t="str">
        <f>TEXT(InputData[[#This Row],[DATE]],"mmm")</f>
        <v>Nov</v>
      </c>
      <c r="P497">
        <f>YEAR(InputData[[#This Row],[DATE]])</f>
        <v>2022</v>
      </c>
    </row>
    <row r="498" spans="1:16" x14ac:dyDescent="0.3">
      <c r="A498" s="3">
        <v>44883</v>
      </c>
      <c r="B498" s="4" t="s">
        <v>77</v>
      </c>
      <c r="C498" s="5">
        <v>8</v>
      </c>
      <c r="D498" s="5" t="s">
        <v>108</v>
      </c>
      <c r="E498" s="5" t="s">
        <v>107</v>
      </c>
      <c r="F498" s="6">
        <v>0</v>
      </c>
      <c r="G498" t="str">
        <f>VLOOKUP(InputData[[#This Row],[PRODUCT ID]],MasterData[],2,)</f>
        <v>Product34</v>
      </c>
      <c r="H498" t="str">
        <f>VLOOKUP(InputData[[#This Row],[PRODUCT ID]],MasterData[],3,)</f>
        <v>Category04</v>
      </c>
      <c r="I498" t="str">
        <f>VLOOKUP(InputData[[#This Row],[PRODUCT ID]],MasterData[],4,)</f>
        <v>Lt</v>
      </c>
      <c r="J498" s="7">
        <f>VLOOKUP(InputData[[#This Row],[PRODUCT ID]],MasterData[],5,)</f>
        <v>55</v>
      </c>
      <c r="K498" s="7">
        <f>VLOOKUP(InputData[[#This Row],[PRODUCT ID]],MasterData[],6,)</f>
        <v>58.3</v>
      </c>
      <c r="L498" s="7">
        <f>InputData[[#This Row],[BUYING PRIZE]]*InputData[[#This Row],[QUANTITY]]</f>
        <v>440</v>
      </c>
      <c r="M498" s="7">
        <f>InputData[[#This Row],[SELLING PRICE]]*InputData[[#This Row],[QUANTITY]]*(1-InputData[[#This Row],[DISCOUNT %]])</f>
        <v>466.4</v>
      </c>
      <c r="N498">
        <f>DAY(InputData[[#This Row],[DATE]])</f>
        <v>18</v>
      </c>
      <c r="O498" t="str">
        <f>TEXT(InputData[[#This Row],[DATE]],"mmm")</f>
        <v>Nov</v>
      </c>
      <c r="P498">
        <f>YEAR(InputData[[#This Row],[DATE]])</f>
        <v>2022</v>
      </c>
    </row>
    <row r="499" spans="1:16" x14ac:dyDescent="0.3">
      <c r="A499" s="3">
        <v>44886</v>
      </c>
      <c r="B499" s="4" t="s">
        <v>47</v>
      </c>
      <c r="C499" s="5">
        <v>6</v>
      </c>
      <c r="D499" s="5" t="s">
        <v>108</v>
      </c>
      <c r="E499" s="5" t="s">
        <v>107</v>
      </c>
      <c r="F499" s="6">
        <v>0</v>
      </c>
      <c r="G499" t="str">
        <f>VLOOKUP(InputData[[#This Row],[PRODUCT ID]],MasterData[],2,)</f>
        <v>Product20</v>
      </c>
      <c r="H499" t="str">
        <f>VLOOKUP(InputData[[#This Row],[PRODUCT ID]],MasterData[],3,)</f>
        <v>Category03</v>
      </c>
      <c r="I499" t="str">
        <f>VLOOKUP(InputData[[#This Row],[PRODUCT ID]],MasterData[],4,)</f>
        <v>Lt</v>
      </c>
      <c r="J499" s="7">
        <f>VLOOKUP(InputData[[#This Row],[PRODUCT ID]],MasterData[],5,)</f>
        <v>61</v>
      </c>
      <c r="K499" s="7">
        <f>VLOOKUP(InputData[[#This Row],[PRODUCT ID]],MasterData[],6,)</f>
        <v>76.25</v>
      </c>
      <c r="L499" s="7">
        <f>InputData[[#This Row],[BUYING PRIZE]]*InputData[[#This Row],[QUANTITY]]</f>
        <v>366</v>
      </c>
      <c r="M499" s="7">
        <f>InputData[[#This Row],[SELLING PRICE]]*InputData[[#This Row],[QUANTITY]]*(1-InputData[[#This Row],[DISCOUNT %]])</f>
        <v>457.5</v>
      </c>
      <c r="N499">
        <f>DAY(InputData[[#This Row],[DATE]])</f>
        <v>21</v>
      </c>
      <c r="O499" t="str">
        <f>TEXT(InputData[[#This Row],[DATE]],"mmm")</f>
        <v>Nov</v>
      </c>
      <c r="P499">
        <f>YEAR(InputData[[#This Row],[DATE]])</f>
        <v>2022</v>
      </c>
    </row>
    <row r="500" spans="1:16" x14ac:dyDescent="0.3">
      <c r="A500" s="3">
        <v>44888</v>
      </c>
      <c r="B500" s="4" t="s">
        <v>81</v>
      </c>
      <c r="C500" s="5">
        <v>12</v>
      </c>
      <c r="D500" s="5" t="s">
        <v>106</v>
      </c>
      <c r="E500" s="5" t="s">
        <v>106</v>
      </c>
      <c r="F500" s="6">
        <v>0</v>
      </c>
      <c r="G500" t="str">
        <f>VLOOKUP(InputData[[#This Row],[PRODUCT ID]],MasterData[],2,)</f>
        <v>Product36</v>
      </c>
      <c r="H500" t="str">
        <f>VLOOKUP(InputData[[#This Row],[PRODUCT ID]],MasterData[],3,)</f>
        <v>Category04</v>
      </c>
      <c r="I500" t="str">
        <f>VLOOKUP(InputData[[#This Row],[PRODUCT ID]],MasterData[],4,)</f>
        <v>Kg</v>
      </c>
      <c r="J500" s="7">
        <f>VLOOKUP(InputData[[#This Row],[PRODUCT ID]],MasterData[],5,)</f>
        <v>90</v>
      </c>
      <c r="K500" s="7">
        <f>VLOOKUP(InputData[[#This Row],[PRODUCT ID]],MasterData[],6,)</f>
        <v>96.3</v>
      </c>
      <c r="L500" s="7">
        <f>InputData[[#This Row],[BUYING PRIZE]]*InputData[[#This Row],[QUANTITY]]</f>
        <v>1080</v>
      </c>
      <c r="M500" s="7">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3">
      <c r="A501" s="3">
        <v>44890</v>
      </c>
      <c r="B501" s="4" t="s">
        <v>14</v>
      </c>
      <c r="C501" s="5">
        <v>5</v>
      </c>
      <c r="D501" s="5" t="s">
        <v>108</v>
      </c>
      <c r="E501" s="5" t="s">
        <v>107</v>
      </c>
      <c r="F501" s="6">
        <v>0</v>
      </c>
      <c r="G501" t="str">
        <f>VLOOKUP(InputData[[#This Row],[PRODUCT ID]],MasterData[],2,)</f>
        <v>Product04</v>
      </c>
      <c r="H501" t="str">
        <f>VLOOKUP(InputData[[#This Row],[PRODUCT ID]],MasterData[],3,)</f>
        <v>Category01</v>
      </c>
      <c r="I501" t="str">
        <f>VLOOKUP(InputData[[#This Row],[PRODUCT ID]],MasterData[],4,)</f>
        <v>Lt</v>
      </c>
      <c r="J501" s="7">
        <f>VLOOKUP(InputData[[#This Row],[PRODUCT ID]],MasterData[],5,)</f>
        <v>44</v>
      </c>
      <c r="K501" s="7">
        <f>VLOOKUP(InputData[[#This Row],[PRODUCT ID]],MasterData[],6,)</f>
        <v>48.84</v>
      </c>
      <c r="L501" s="7">
        <f>InputData[[#This Row],[BUYING PRIZE]]*InputData[[#This Row],[QUANTITY]]</f>
        <v>220</v>
      </c>
      <c r="M501" s="7">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3">
      <c r="A502" s="3">
        <v>44891</v>
      </c>
      <c r="B502" s="4" t="s">
        <v>73</v>
      </c>
      <c r="C502" s="5">
        <v>5</v>
      </c>
      <c r="D502" s="5" t="s">
        <v>108</v>
      </c>
      <c r="E502" s="5" t="s">
        <v>106</v>
      </c>
      <c r="F502" s="6">
        <v>0</v>
      </c>
      <c r="G502" t="str">
        <f>VLOOKUP(InputData[[#This Row],[PRODUCT ID]],MasterData[],2,)</f>
        <v>Product32</v>
      </c>
      <c r="H502" t="str">
        <f>VLOOKUP(InputData[[#This Row],[PRODUCT ID]],MasterData[],3,)</f>
        <v>Category04</v>
      </c>
      <c r="I502" t="str">
        <f>VLOOKUP(InputData[[#This Row],[PRODUCT ID]],MasterData[],4,)</f>
        <v>Kg</v>
      </c>
      <c r="J502" s="7">
        <f>VLOOKUP(InputData[[#This Row],[PRODUCT ID]],MasterData[],5,)</f>
        <v>89</v>
      </c>
      <c r="K502" s="7">
        <f>VLOOKUP(InputData[[#This Row],[PRODUCT ID]],MasterData[],6,)</f>
        <v>117.48</v>
      </c>
      <c r="L502" s="7">
        <f>InputData[[#This Row],[BUYING PRIZE]]*InputData[[#This Row],[QUANTITY]]</f>
        <v>445</v>
      </c>
      <c r="M502" s="7">
        <f>InputData[[#This Row],[SELLING PRICE]]*InputData[[#This Row],[QUANTITY]]*(1-InputData[[#This Row],[DISCOUNT %]])</f>
        <v>587.4</v>
      </c>
      <c r="N502">
        <f>DAY(InputData[[#This Row],[DATE]])</f>
        <v>26</v>
      </c>
      <c r="O502" t="str">
        <f>TEXT(InputData[[#This Row],[DATE]],"mmm")</f>
        <v>Nov</v>
      </c>
      <c r="P502">
        <f>YEAR(InputData[[#This Row],[DATE]])</f>
        <v>2022</v>
      </c>
    </row>
    <row r="503" spans="1:16" x14ac:dyDescent="0.3">
      <c r="A503" s="3">
        <v>44892</v>
      </c>
      <c r="B503" s="4" t="s">
        <v>77</v>
      </c>
      <c r="C503" s="5">
        <v>15</v>
      </c>
      <c r="D503" s="5" t="s">
        <v>108</v>
      </c>
      <c r="E503" s="5" t="s">
        <v>106</v>
      </c>
      <c r="F503" s="6">
        <v>0</v>
      </c>
      <c r="G503" t="str">
        <f>VLOOKUP(InputData[[#This Row],[PRODUCT ID]],MasterData[],2,)</f>
        <v>Product34</v>
      </c>
      <c r="H503" t="str">
        <f>VLOOKUP(InputData[[#This Row],[PRODUCT ID]],MasterData[],3,)</f>
        <v>Category04</v>
      </c>
      <c r="I503" t="str">
        <f>VLOOKUP(InputData[[#This Row],[PRODUCT ID]],MasterData[],4,)</f>
        <v>Lt</v>
      </c>
      <c r="J503" s="7">
        <f>VLOOKUP(InputData[[#This Row],[PRODUCT ID]],MasterData[],5,)</f>
        <v>55</v>
      </c>
      <c r="K503" s="7">
        <f>VLOOKUP(InputData[[#This Row],[PRODUCT ID]],MasterData[],6,)</f>
        <v>58.3</v>
      </c>
      <c r="L503" s="7">
        <f>InputData[[#This Row],[BUYING PRIZE]]*InputData[[#This Row],[QUANTITY]]</f>
        <v>825</v>
      </c>
      <c r="M503" s="7">
        <f>InputData[[#This Row],[SELLING PRICE]]*InputData[[#This Row],[QUANTITY]]*(1-InputData[[#This Row],[DISCOUNT %]])</f>
        <v>874.5</v>
      </c>
      <c r="N503">
        <f>DAY(InputData[[#This Row],[DATE]])</f>
        <v>27</v>
      </c>
      <c r="O503" t="str">
        <f>TEXT(InputData[[#This Row],[DATE]],"mmm")</f>
        <v>Nov</v>
      </c>
      <c r="P503">
        <f>YEAR(InputData[[#This Row],[DATE]])</f>
        <v>2022</v>
      </c>
    </row>
    <row r="504" spans="1:16" x14ac:dyDescent="0.3">
      <c r="A504" s="3">
        <v>44893</v>
      </c>
      <c r="B504" s="4" t="s">
        <v>71</v>
      </c>
      <c r="C504" s="5">
        <v>8</v>
      </c>
      <c r="D504" s="5" t="s">
        <v>108</v>
      </c>
      <c r="E504" s="5" t="s">
        <v>107</v>
      </c>
      <c r="F504" s="6">
        <v>0</v>
      </c>
      <c r="G504" t="str">
        <f>VLOOKUP(InputData[[#This Row],[PRODUCT ID]],MasterData[],2,)</f>
        <v>Product31</v>
      </c>
      <c r="H504" t="str">
        <f>VLOOKUP(InputData[[#This Row],[PRODUCT ID]],MasterData[],3,)</f>
        <v>Category04</v>
      </c>
      <c r="I504" t="str">
        <f>VLOOKUP(InputData[[#This Row],[PRODUCT ID]],MasterData[],4,)</f>
        <v>Kg</v>
      </c>
      <c r="J504" s="7">
        <f>VLOOKUP(InputData[[#This Row],[PRODUCT ID]],MasterData[],5,)</f>
        <v>93</v>
      </c>
      <c r="K504" s="7">
        <f>VLOOKUP(InputData[[#This Row],[PRODUCT ID]],MasterData[],6,)</f>
        <v>104.16</v>
      </c>
      <c r="L504" s="7">
        <f>InputData[[#This Row],[BUYING PRIZE]]*InputData[[#This Row],[QUANTITY]]</f>
        <v>744</v>
      </c>
      <c r="M504" s="7">
        <f>InputData[[#This Row],[SELLING PRICE]]*InputData[[#This Row],[QUANTITY]]*(1-InputData[[#This Row],[DISCOUNT %]])</f>
        <v>833.28</v>
      </c>
      <c r="N504">
        <f>DAY(InputData[[#This Row],[DATE]])</f>
        <v>28</v>
      </c>
      <c r="O504" t="str">
        <f>TEXT(InputData[[#This Row],[DATE]],"mmm")</f>
        <v>Nov</v>
      </c>
      <c r="P504">
        <f>YEAR(InputData[[#This Row],[DATE]])</f>
        <v>2022</v>
      </c>
    </row>
    <row r="505" spans="1:16" x14ac:dyDescent="0.3">
      <c r="A505" s="3">
        <v>44895</v>
      </c>
      <c r="B505" s="4" t="s">
        <v>37</v>
      </c>
      <c r="C505" s="5">
        <v>2</v>
      </c>
      <c r="D505" s="5" t="s">
        <v>108</v>
      </c>
      <c r="E505" s="5" t="s">
        <v>106</v>
      </c>
      <c r="F505" s="6">
        <v>0</v>
      </c>
      <c r="G505" t="str">
        <f>VLOOKUP(InputData[[#This Row],[PRODUCT ID]],MasterData[],2,)</f>
        <v>Product15</v>
      </c>
      <c r="H505" t="str">
        <f>VLOOKUP(InputData[[#This Row],[PRODUCT ID]],MasterData[],3,)</f>
        <v>Category02</v>
      </c>
      <c r="I505" t="str">
        <f>VLOOKUP(InputData[[#This Row],[PRODUCT ID]],MasterData[],4,)</f>
        <v>No.</v>
      </c>
      <c r="J505" s="7">
        <f>VLOOKUP(InputData[[#This Row],[PRODUCT ID]],MasterData[],5,)</f>
        <v>12</v>
      </c>
      <c r="K505" s="7">
        <f>VLOOKUP(InputData[[#This Row],[PRODUCT ID]],MasterData[],6,)</f>
        <v>15.719999999999999</v>
      </c>
      <c r="L505" s="7">
        <f>InputData[[#This Row],[BUYING PRIZE]]*InputData[[#This Row],[QUANTITY]]</f>
        <v>24</v>
      </c>
      <c r="M505" s="7">
        <f>InputData[[#This Row],[SELLING PRICE]]*InputData[[#This Row],[QUANTITY]]*(1-InputData[[#This Row],[DISCOUNT %]])</f>
        <v>31.439999999999998</v>
      </c>
      <c r="N505">
        <f>DAY(InputData[[#This Row],[DATE]])</f>
        <v>30</v>
      </c>
      <c r="O505" t="str">
        <f>TEXT(InputData[[#This Row],[DATE]],"mmm")</f>
        <v>Nov</v>
      </c>
      <c r="P505">
        <f>YEAR(InputData[[#This Row],[DATE]])</f>
        <v>2022</v>
      </c>
    </row>
    <row r="506" spans="1:16" x14ac:dyDescent="0.3">
      <c r="A506" s="3">
        <v>44898</v>
      </c>
      <c r="B506" s="4" t="s">
        <v>65</v>
      </c>
      <c r="C506" s="5">
        <v>5</v>
      </c>
      <c r="D506" s="5" t="s">
        <v>105</v>
      </c>
      <c r="E506" s="5" t="s">
        <v>107</v>
      </c>
      <c r="F506" s="6">
        <v>0</v>
      </c>
      <c r="G506" t="str">
        <f>VLOOKUP(InputData[[#This Row],[PRODUCT ID]],MasterData[],2,)</f>
        <v>Product28</v>
      </c>
      <c r="H506" t="str">
        <f>VLOOKUP(InputData[[#This Row],[PRODUCT ID]],MasterData[],3,)</f>
        <v>Category04</v>
      </c>
      <c r="I506" t="str">
        <f>VLOOKUP(InputData[[#This Row],[PRODUCT ID]],MasterData[],4,)</f>
        <v>No.</v>
      </c>
      <c r="J506" s="7">
        <f>VLOOKUP(InputData[[#This Row],[PRODUCT ID]],MasterData[],5,)</f>
        <v>37</v>
      </c>
      <c r="K506" s="7">
        <f>VLOOKUP(InputData[[#This Row],[PRODUCT ID]],MasterData[],6,)</f>
        <v>41.81</v>
      </c>
      <c r="L506" s="7">
        <f>InputData[[#This Row],[BUYING PRIZE]]*InputData[[#This Row],[QUANTITY]]</f>
        <v>185</v>
      </c>
      <c r="M506" s="7">
        <f>InputData[[#This Row],[SELLING PRICE]]*InputData[[#This Row],[QUANTITY]]*(1-InputData[[#This Row],[DISCOUNT %]])</f>
        <v>209.05</v>
      </c>
      <c r="N506">
        <f>DAY(InputData[[#This Row],[DATE]])</f>
        <v>3</v>
      </c>
      <c r="O506" t="str">
        <f>TEXT(InputData[[#This Row],[DATE]],"mmm")</f>
        <v>Dec</v>
      </c>
      <c r="P506">
        <f>YEAR(InputData[[#This Row],[DATE]])</f>
        <v>2022</v>
      </c>
    </row>
    <row r="507" spans="1:16" x14ac:dyDescent="0.3">
      <c r="A507" s="3">
        <v>44899</v>
      </c>
      <c r="B507" s="4" t="s">
        <v>60</v>
      </c>
      <c r="C507" s="5">
        <v>10</v>
      </c>
      <c r="D507" s="5" t="s">
        <v>108</v>
      </c>
      <c r="E507" s="5" t="s">
        <v>107</v>
      </c>
      <c r="F507" s="6">
        <v>0</v>
      </c>
      <c r="G507" t="str">
        <f>VLOOKUP(InputData[[#This Row],[PRODUCT ID]],MasterData[],2,)</f>
        <v>Product26</v>
      </c>
      <c r="H507" t="str">
        <f>VLOOKUP(InputData[[#This Row],[PRODUCT ID]],MasterData[],3,)</f>
        <v>Category04</v>
      </c>
      <c r="I507" t="str">
        <f>VLOOKUP(InputData[[#This Row],[PRODUCT ID]],MasterData[],4,)</f>
        <v>No.</v>
      </c>
      <c r="J507" s="7">
        <f>VLOOKUP(InputData[[#This Row],[PRODUCT ID]],MasterData[],5,)</f>
        <v>18</v>
      </c>
      <c r="K507" s="7">
        <f>VLOOKUP(InputData[[#This Row],[PRODUCT ID]],MasterData[],6,)</f>
        <v>24.66</v>
      </c>
      <c r="L507" s="7">
        <f>InputData[[#This Row],[BUYING PRIZE]]*InputData[[#This Row],[QUANTITY]]</f>
        <v>180</v>
      </c>
      <c r="M507" s="7">
        <f>InputData[[#This Row],[SELLING PRICE]]*InputData[[#This Row],[QUANTITY]]*(1-InputData[[#This Row],[DISCOUNT %]])</f>
        <v>246.6</v>
      </c>
      <c r="N507">
        <f>DAY(InputData[[#This Row],[DATE]])</f>
        <v>4</v>
      </c>
      <c r="O507" t="str">
        <f>TEXT(InputData[[#This Row],[DATE]],"mmm")</f>
        <v>Dec</v>
      </c>
      <c r="P507">
        <f>YEAR(InputData[[#This Row],[DATE]])</f>
        <v>2022</v>
      </c>
    </row>
    <row r="508" spans="1:16" x14ac:dyDescent="0.3">
      <c r="A508" s="3">
        <v>44899</v>
      </c>
      <c r="B508" s="4" t="s">
        <v>98</v>
      </c>
      <c r="C508" s="5">
        <v>15</v>
      </c>
      <c r="D508" s="5" t="s">
        <v>108</v>
      </c>
      <c r="E508" s="5" t="s">
        <v>107</v>
      </c>
      <c r="F508" s="6">
        <v>0</v>
      </c>
      <c r="G508" t="str">
        <f>VLOOKUP(InputData[[#This Row],[PRODUCT ID]],MasterData[],2,)</f>
        <v>Product44</v>
      </c>
      <c r="H508" t="str">
        <f>VLOOKUP(InputData[[#This Row],[PRODUCT ID]],MasterData[],3,)</f>
        <v>Category05</v>
      </c>
      <c r="I508" t="str">
        <f>VLOOKUP(InputData[[#This Row],[PRODUCT ID]],MasterData[],4,)</f>
        <v>Kg</v>
      </c>
      <c r="J508" s="7">
        <f>VLOOKUP(InputData[[#This Row],[PRODUCT ID]],MasterData[],5,)</f>
        <v>76</v>
      </c>
      <c r="K508" s="7">
        <f>VLOOKUP(InputData[[#This Row],[PRODUCT ID]],MasterData[],6,)</f>
        <v>82.08</v>
      </c>
      <c r="L508" s="7">
        <f>InputData[[#This Row],[BUYING PRIZE]]*InputData[[#This Row],[QUANTITY]]</f>
        <v>1140</v>
      </c>
      <c r="M508" s="7">
        <f>InputData[[#This Row],[SELLING PRICE]]*InputData[[#This Row],[QUANTITY]]*(1-InputData[[#This Row],[DISCOUNT %]])</f>
        <v>1231.2</v>
      </c>
      <c r="N508">
        <f>DAY(InputData[[#This Row],[DATE]])</f>
        <v>4</v>
      </c>
      <c r="O508" t="str">
        <f>TEXT(InputData[[#This Row],[DATE]],"mmm")</f>
        <v>Dec</v>
      </c>
      <c r="P508">
        <f>YEAR(InputData[[#This Row],[DATE]])</f>
        <v>2022</v>
      </c>
    </row>
    <row r="509" spans="1:16" x14ac:dyDescent="0.3">
      <c r="A509" s="3">
        <v>44902</v>
      </c>
      <c r="B509" s="4" t="s">
        <v>86</v>
      </c>
      <c r="C509" s="5">
        <v>12</v>
      </c>
      <c r="D509" s="5" t="s">
        <v>108</v>
      </c>
      <c r="E509" s="5" t="s">
        <v>107</v>
      </c>
      <c r="F509" s="6">
        <v>0</v>
      </c>
      <c r="G509" t="str">
        <f>VLOOKUP(InputData[[#This Row],[PRODUCT ID]],MasterData[],2,)</f>
        <v>Product38</v>
      </c>
      <c r="H509" t="str">
        <f>VLOOKUP(InputData[[#This Row],[PRODUCT ID]],MasterData[],3,)</f>
        <v>Category05</v>
      </c>
      <c r="I509" t="str">
        <f>VLOOKUP(InputData[[#This Row],[PRODUCT ID]],MasterData[],4,)</f>
        <v>Kg</v>
      </c>
      <c r="J509" s="7">
        <f>VLOOKUP(InputData[[#This Row],[PRODUCT ID]],MasterData[],5,)</f>
        <v>72</v>
      </c>
      <c r="K509" s="7">
        <f>VLOOKUP(InputData[[#This Row],[PRODUCT ID]],MasterData[],6,)</f>
        <v>79.92</v>
      </c>
      <c r="L509" s="7">
        <f>InputData[[#This Row],[BUYING PRIZE]]*InputData[[#This Row],[QUANTITY]]</f>
        <v>864</v>
      </c>
      <c r="M509" s="7">
        <f>InputData[[#This Row],[SELLING PRICE]]*InputData[[#This Row],[QUANTITY]]*(1-InputData[[#This Row],[DISCOUNT %]])</f>
        <v>959.04</v>
      </c>
      <c r="N509">
        <f>DAY(InputData[[#This Row],[DATE]])</f>
        <v>7</v>
      </c>
      <c r="O509" t="str">
        <f>TEXT(InputData[[#This Row],[DATE]],"mmm")</f>
        <v>Dec</v>
      </c>
      <c r="P509">
        <f>YEAR(InputData[[#This Row],[DATE]])</f>
        <v>2022</v>
      </c>
    </row>
    <row r="510" spans="1:16" x14ac:dyDescent="0.3">
      <c r="A510" s="3">
        <v>44902</v>
      </c>
      <c r="B510" s="4" t="s">
        <v>39</v>
      </c>
      <c r="C510" s="5">
        <v>13</v>
      </c>
      <c r="D510" s="5" t="s">
        <v>108</v>
      </c>
      <c r="E510" s="5" t="s">
        <v>106</v>
      </c>
      <c r="F510" s="6">
        <v>0</v>
      </c>
      <c r="G510" t="str">
        <f>VLOOKUP(InputData[[#This Row],[PRODUCT ID]],MasterData[],2,)</f>
        <v>Product16</v>
      </c>
      <c r="H510" t="str">
        <f>VLOOKUP(InputData[[#This Row],[PRODUCT ID]],MasterData[],3,)</f>
        <v>Category02</v>
      </c>
      <c r="I510" t="str">
        <f>VLOOKUP(InputData[[#This Row],[PRODUCT ID]],MasterData[],4,)</f>
        <v>No.</v>
      </c>
      <c r="J510" s="7">
        <f>VLOOKUP(InputData[[#This Row],[PRODUCT ID]],MasterData[],5,)</f>
        <v>13</v>
      </c>
      <c r="K510" s="7">
        <f>VLOOKUP(InputData[[#This Row],[PRODUCT ID]],MasterData[],6,)</f>
        <v>16.64</v>
      </c>
      <c r="L510" s="7">
        <f>InputData[[#This Row],[BUYING PRIZE]]*InputData[[#This Row],[QUANTITY]]</f>
        <v>169</v>
      </c>
      <c r="M510" s="7">
        <f>InputData[[#This Row],[SELLING PRICE]]*InputData[[#This Row],[QUANTITY]]*(1-InputData[[#This Row],[DISCOUNT %]])</f>
        <v>216.32</v>
      </c>
      <c r="N510">
        <f>DAY(InputData[[#This Row],[DATE]])</f>
        <v>7</v>
      </c>
      <c r="O510" t="str">
        <f>TEXT(InputData[[#This Row],[DATE]],"mmm")</f>
        <v>Dec</v>
      </c>
      <c r="P510">
        <f>YEAR(InputData[[#This Row],[DATE]])</f>
        <v>2022</v>
      </c>
    </row>
    <row r="511" spans="1:16" x14ac:dyDescent="0.3">
      <c r="A511" s="3">
        <v>44902</v>
      </c>
      <c r="B511" s="4" t="s">
        <v>86</v>
      </c>
      <c r="C511" s="5">
        <v>5</v>
      </c>
      <c r="D511" s="5" t="s">
        <v>108</v>
      </c>
      <c r="E511" s="5" t="s">
        <v>107</v>
      </c>
      <c r="F511" s="6">
        <v>0</v>
      </c>
      <c r="G511" t="str">
        <f>VLOOKUP(InputData[[#This Row],[PRODUCT ID]],MasterData[],2,)</f>
        <v>Product38</v>
      </c>
      <c r="H511" t="str">
        <f>VLOOKUP(InputData[[#This Row],[PRODUCT ID]],MasterData[],3,)</f>
        <v>Category05</v>
      </c>
      <c r="I511" t="str">
        <f>VLOOKUP(InputData[[#This Row],[PRODUCT ID]],MasterData[],4,)</f>
        <v>Kg</v>
      </c>
      <c r="J511" s="7">
        <f>VLOOKUP(InputData[[#This Row],[PRODUCT ID]],MasterData[],5,)</f>
        <v>72</v>
      </c>
      <c r="K511" s="7">
        <f>VLOOKUP(InputData[[#This Row],[PRODUCT ID]],MasterData[],6,)</f>
        <v>79.92</v>
      </c>
      <c r="L511" s="7">
        <f>InputData[[#This Row],[BUYING PRIZE]]*InputData[[#This Row],[QUANTITY]]</f>
        <v>360</v>
      </c>
      <c r="M511" s="7">
        <f>InputData[[#This Row],[SELLING PRICE]]*InputData[[#This Row],[QUANTITY]]*(1-InputData[[#This Row],[DISCOUNT %]])</f>
        <v>399.6</v>
      </c>
      <c r="N511">
        <f>DAY(InputData[[#This Row],[DATE]])</f>
        <v>7</v>
      </c>
      <c r="O511" t="str">
        <f>TEXT(InputData[[#This Row],[DATE]],"mmm")</f>
        <v>Dec</v>
      </c>
      <c r="P511">
        <f>YEAR(InputData[[#This Row],[DATE]])</f>
        <v>2022</v>
      </c>
    </row>
    <row r="512" spans="1:16" x14ac:dyDescent="0.3">
      <c r="A512" s="3">
        <v>44906</v>
      </c>
      <c r="B512" s="4" t="s">
        <v>63</v>
      </c>
      <c r="C512" s="5">
        <v>5</v>
      </c>
      <c r="D512" s="5" t="s">
        <v>108</v>
      </c>
      <c r="E512" s="5" t="s">
        <v>106</v>
      </c>
      <c r="F512" s="6">
        <v>0</v>
      </c>
      <c r="G512" t="str">
        <f>VLOOKUP(InputData[[#This Row],[PRODUCT ID]],MasterData[],2,)</f>
        <v>Product27</v>
      </c>
      <c r="H512" t="str">
        <f>VLOOKUP(InputData[[#This Row],[PRODUCT ID]],MasterData[],3,)</f>
        <v>Category04</v>
      </c>
      <c r="I512" t="str">
        <f>VLOOKUP(InputData[[#This Row],[PRODUCT ID]],MasterData[],4,)</f>
        <v>Lt</v>
      </c>
      <c r="J512" s="7">
        <f>VLOOKUP(InputData[[#This Row],[PRODUCT ID]],MasterData[],5,)</f>
        <v>48</v>
      </c>
      <c r="K512" s="7">
        <f>VLOOKUP(InputData[[#This Row],[PRODUCT ID]],MasterData[],6,)</f>
        <v>57.120000000000005</v>
      </c>
      <c r="L512" s="7">
        <f>InputData[[#This Row],[BUYING PRIZE]]*InputData[[#This Row],[QUANTITY]]</f>
        <v>240</v>
      </c>
      <c r="M512" s="7">
        <f>InputData[[#This Row],[SELLING PRICE]]*InputData[[#This Row],[QUANTITY]]*(1-InputData[[#This Row],[DISCOUNT %]])</f>
        <v>285.60000000000002</v>
      </c>
      <c r="N512">
        <f>DAY(InputData[[#This Row],[DATE]])</f>
        <v>11</v>
      </c>
      <c r="O512" t="str">
        <f>TEXT(InputData[[#This Row],[DATE]],"mmm")</f>
        <v>Dec</v>
      </c>
      <c r="P512">
        <f>YEAR(InputData[[#This Row],[DATE]])</f>
        <v>2022</v>
      </c>
    </row>
    <row r="513" spans="1:16" x14ac:dyDescent="0.3">
      <c r="A513" s="3">
        <v>44906</v>
      </c>
      <c r="B513" s="4" t="s">
        <v>33</v>
      </c>
      <c r="C513" s="5">
        <v>9</v>
      </c>
      <c r="D513" s="5" t="s">
        <v>105</v>
      </c>
      <c r="E513" s="5" t="s">
        <v>106</v>
      </c>
      <c r="F513" s="6">
        <v>0</v>
      </c>
      <c r="G513" t="str">
        <f>VLOOKUP(InputData[[#This Row],[PRODUCT ID]],MasterData[],2,)</f>
        <v>Product13</v>
      </c>
      <c r="H513" t="str">
        <f>VLOOKUP(InputData[[#This Row],[PRODUCT ID]],MasterData[],3,)</f>
        <v>Category02</v>
      </c>
      <c r="I513" t="str">
        <f>VLOOKUP(InputData[[#This Row],[PRODUCT ID]],MasterData[],4,)</f>
        <v>Kg</v>
      </c>
      <c r="J513" s="7">
        <f>VLOOKUP(InputData[[#This Row],[PRODUCT ID]],MasterData[],5,)</f>
        <v>112</v>
      </c>
      <c r="K513" s="7">
        <f>VLOOKUP(InputData[[#This Row],[PRODUCT ID]],MasterData[],6,)</f>
        <v>122.08</v>
      </c>
      <c r="L513" s="7">
        <f>InputData[[#This Row],[BUYING PRIZE]]*InputData[[#This Row],[QUANTITY]]</f>
        <v>1008</v>
      </c>
      <c r="M513" s="7">
        <f>InputData[[#This Row],[SELLING PRICE]]*InputData[[#This Row],[QUANTITY]]*(1-InputData[[#This Row],[DISCOUNT %]])</f>
        <v>1098.72</v>
      </c>
      <c r="N513">
        <f>DAY(InputData[[#This Row],[DATE]])</f>
        <v>11</v>
      </c>
      <c r="O513" t="str">
        <f>TEXT(InputData[[#This Row],[DATE]],"mmm")</f>
        <v>Dec</v>
      </c>
      <c r="P513">
        <f>YEAR(InputData[[#This Row],[DATE]])</f>
        <v>2022</v>
      </c>
    </row>
    <row r="514" spans="1:16" x14ac:dyDescent="0.3">
      <c r="A514" s="3">
        <v>44906</v>
      </c>
      <c r="B514" s="4" t="s">
        <v>35</v>
      </c>
      <c r="C514" s="5">
        <v>10</v>
      </c>
      <c r="D514" s="5" t="s">
        <v>106</v>
      </c>
      <c r="E514" s="5" t="s">
        <v>107</v>
      </c>
      <c r="F514" s="6">
        <v>0</v>
      </c>
      <c r="G514" t="str">
        <f>VLOOKUP(InputData[[#This Row],[PRODUCT ID]],MasterData[],2,)</f>
        <v>Product14</v>
      </c>
      <c r="H514" t="str">
        <f>VLOOKUP(InputData[[#This Row],[PRODUCT ID]],MasterData[],3,)</f>
        <v>Category02</v>
      </c>
      <c r="I514" t="str">
        <f>VLOOKUP(InputData[[#This Row],[PRODUCT ID]],MasterData[],4,)</f>
        <v>Kg</v>
      </c>
      <c r="J514" s="7">
        <f>VLOOKUP(InputData[[#This Row],[PRODUCT ID]],MasterData[],5,)</f>
        <v>112</v>
      </c>
      <c r="K514" s="7">
        <f>VLOOKUP(InputData[[#This Row],[PRODUCT ID]],MasterData[],6,)</f>
        <v>146.72</v>
      </c>
      <c r="L514" s="7">
        <f>InputData[[#This Row],[BUYING PRIZE]]*InputData[[#This Row],[QUANTITY]]</f>
        <v>1120</v>
      </c>
      <c r="M514" s="7">
        <f>InputData[[#This Row],[SELLING PRICE]]*InputData[[#This Row],[QUANTITY]]*(1-InputData[[#This Row],[DISCOUNT %]])</f>
        <v>1467.2</v>
      </c>
      <c r="N514">
        <f>DAY(InputData[[#This Row],[DATE]])</f>
        <v>11</v>
      </c>
      <c r="O514" t="str">
        <f>TEXT(InputData[[#This Row],[DATE]],"mmm")</f>
        <v>Dec</v>
      </c>
      <c r="P514">
        <f>YEAR(InputData[[#This Row],[DATE]])</f>
        <v>2022</v>
      </c>
    </row>
    <row r="515" spans="1:16" x14ac:dyDescent="0.3">
      <c r="A515" s="3">
        <v>44907</v>
      </c>
      <c r="B515" s="4" t="s">
        <v>69</v>
      </c>
      <c r="C515" s="5">
        <v>9</v>
      </c>
      <c r="D515" s="5" t="s">
        <v>105</v>
      </c>
      <c r="E515" s="5" t="s">
        <v>107</v>
      </c>
      <c r="F515" s="6">
        <v>0</v>
      </c>
      <c r="G515" t="str">
        <f>VLOOKUP(InputData[[#This Row],[PRODUCT ID]],MasterData[],2,)</f>
        <v>Product30</v>
      </c>
      <c r="H515" t="str">
        <f>VLOOKUP(InputData[[#This Row],[PRODUCT ID]],MasterData[],3,)</f>
        <v>Category04</v>
      </c>
      <c r="I515" t="str">
        <f>VLOOKUP(InputData[[#This Row],[PRODUCT ID]],MasterData[],4,)</f>
        <v>Ft</v>
      </c>
      <c r="J515" s="7">
        <f>VLOOKUP(InputData[[#This Row],[PRODUCT ID]],MasterData[],5,)</f>
        <v>148</v>
      </c>
      <c r="K515" s="7">
        <f>VLOOKUP(InputData[[#This Row],[PRODUCT ID]],MasterData[],6,)</f>
        <v>201.28</v>
      </c>
      <c r="L515" s="7">
        <f>InputData[[#This Row],[BUYING PRIZE]]*InputData[[#This Row],[QUANTITY]]</f>
        <v>1332</v>
      </c>
      <c r="M515" s="7">
        <f>InputData[[#This Row],[SELLING PRICE]]*InputData[[#This Row],[QUANTITY]]*(1-InputData[[#This Row],[DISCOUNT %]])</f>
        <v>1811.52</v>
      </c>
      <c r="N515">
        <f>DAY(InputData[[#This Row],[DATE]])</f>
        <v>12</v>
      </c>
      <c r="O515" t="str">
        <f>TEXT(InputData[[#This Row],[DATE]],"mmm")</f>
        <v>Dec</v>
      </c>
      <c r="P515">
        <f>YEAR(InputData[[#This Row],[DATE]])</f>
        <v>2022</v>
      </c>
    </row>
    <row r="516" spans="1:16" x14ac:dyDescent="0.3">
      <c r="A516" s="3">
        <v>44907</v>
      </c>
      <c r="B516" s="4" t="s">
        <v>92</v>
      </c>
      <c r="C516" s="5">
        <v>10</v>
      </c>
      <c r="D516" s="5" t="s">
        <v>105</v>
      </c>
      <c r="E516" s="5" t="s">
        <v>106</v>
      </c>
      <c r="F516" s="6">
        <v>0</v>
      </c>
      <c r="G516" t="str">
        <f>VLOOKUP(InputData[[#This Row],[PRODUCT ID]],MasterData[],2,)</f>
        <v>Product41</v>
      </c>
      <c r="H516" t="str">
        <f>VLOOKUP(InputData[[#This Row],[PRODUCT ID]],MasterData[],3,)</f>
        <v>Category05</v>
      </c>
      <c r="I516" t="str">
        <f>VLOOKUP(InputData[[#This Row],[PRODUCT ID]],MasterData[],4,)</f>
        <v>Ft</v>
      </c>
      <c r="J516" s="7">
        <f>VLOOKUP(InputData[[#This Row],[PRODUCT ID]],MasterData[],5,)</f>
        <v>138</v>
      </c>
      <c r="K516" s="7">
        <f>VLOOKUP(InputData[[#This Row],[PRODUCT ID]],MasterData[],6,)</f>
        <v>173.88</v>
      </c>
      <c r="L516" s="7">
        <f>InputData[[#This Row],[BUYING PRIZE]]*InputData[[#This Row],[QUANTITY]]</f>
        <v>1380</v>
      </c>
      <c r="M516" s="7">
        <f>InputData[[#This Row],[SELLING PRICE]]*InputData[[#This Row],[QUANTITY]]*(1-InputData[[#This Row],[DISCOUNT %]])</f>
        <v>1738.8</v>
      </c>
      <c r="N516">
        <f>DAY(InputData[[#This Row],[DATE]])</f>
        <v>12</v>
      </c>
      <c r="O516" t="str">
        <f>TEXT(InputData[[#This Row],[DATE]],"mmm")</f>
        <v>Dec</v>
      </c>
      <c r="P516">
        <f>YEAR(InputData[[#This Row],[DATE]])</f>
        <v>2022</v>
      </c>
    </row>
    <row r="517" spans="1:16" x14ac:dyDescent="0.3">
      <c r="A517" s="3">
        <v>44909</v>
      </c>
      <c r="B517" s="4" t="s">
        <v>16</v>
      </c>
      <c r="C517" s="5">
        <v>4</v>
      </c>
      <c r="D517" s="5" t="s">
        <v>108</v>
      </c>
      <c r="E517" s="5" t="s">
        <v>107</v>
      </c>
      <c r="F517" s="6">
        <v>0</v>
      </c>
      <c r="G517" t="str">
        <f>VLOOKUP(InputData[[#This Row],[PRODUCT ID]],MasterData[],2,)</f>
        <v>Product05</v>
      </c>
      <c r="H517" t="str">
        <f>VLOOKUP(InputData[[#This Row],[PRODUCT ID]],MasterData[],3,)</f>
        <v>Category01</v>
      </c>
      <c r="I517" t="str">
        <f>VLOOKUP(InputData[[#This Row],[PRODUCT ID]],MasterData[],4,)</f>
        <v>Ft</v>
      </c>
      <c r="J517" s="7">
        <f>VLOOKUP(InputData[[#This Row],[PRODUCT ID]],MasterData[],5,)</f>
        <v>133</v>
      </c>
      <c r="K517" s="7">
        <f>VLOOKUP(InputData[[#This Row],[PRODUCT ID]],MasterData[],6,)</f>
        <v>155.61000000000001</v>
      </c>
      <c r="L517" s="7">
        <f>InputData[[#This Row],[BUYING PRIZE]]*InputData[[#This Row],[QUANTITY]]</f>
        <v>532</v>
      </c>
      <c r="M517" s="7">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3">
      <c r="A518" s="3">
        <v>44910</v>
      </c>
      <c r="B518" s="4" t="s">
        <v>24</v>
      </c>
      <c r="C518" s="5">
        <v>13</v>
      </c>
      <c r="D518" s="5" t="s">
        <v>108</v>
      </c>
      <c r="E518" s="5" t="s">
        <v>106</v>
      </c>
      <c r="F518" s="6">
        <v>0</v>
      </c>
      <c r="G518" t="str">
        <f>VLOOKUP(InputData[[#This Row],[PRODUCT ID]],MasterData[],2,)</f>
        <v>Product09</v>
      </c>
      <c r="H518" t="str">
        <f>VLOOKUP(InputData[[#This Row],[PRODUCT ID]],MasterData[],3,)</f>
        <v>Category01</v>
      </c>
      <c r="I518" t="str">
        <f>VLOOKUP(InputData[[#This Row],[PRODUCT ID]],MasterData[],4,)</f>
        <v>No.</v>
      </c>
      <c r="J518" s="7">
        <f>VLOOKUP(InputData[[#This Row],[PRODUCT ID]],MasterData[],5,)</f>
        <v>6</v>
      </c>
      <c r="K518" s="7">
        <f>VLOOKUP(InputData[[#This Row],[PRODUCT ID]],MasterData[],6,)</f>
        <v>7.8599999999999994</v>
      </c>
      <c r="L518" s="7">
        <f>InputData[[#This Row],[BUYING PRIZE]]*InputData[[#This Row],[QUANTITY]]</f>
        <v>78</v>
      </c>
      <c r="M518" s="7">
        <f>InputData[[#This Row],[SELLING PRICE]]*InputData[[#This Row],[QUANTITY]]*(1-InputData[[#This Row],[DISCOUNT %]])</f>
        <v>102.17999999999999</v>
      </c>
      <c r="N518">
        <f>DAY(InputData[[#This Row],[DATE]])</f>
        <v>15</v>
      </c>
      <c r="O518" t="str">
        <f>TEXT(InputData[[#This Row],[DATE]],"mmm")</f>
        <v>Dec</v>
      </c>
      <c r="P518">
        <f>YEAR(InputData[[#This Row],[DATE]])</f>
        <v>2022</v>
      </c>
    </row>
    <row r="519" spans="1:16" x14ac:dyDescent="0.3">
      <c r="A519" s="3">
        <v>44914</v>
      </c>
      <c r="B519" s="4" t="s">
        <v>98</v>
      </c>
      <c r="C519" s="5">
        <v>7</v>
      </c>
      <c r="D519" s="5" t="s">
        <v>108</v>
      </c>
      <c r="E519" s="5" t="s">
        <v>106</v>
      </c>
      <c r="F519" s="6">
        <v>0</v>
      </c>
      <c r="G519" t="str">
        <f>VLOOKUP(InputData[[#This Row],[PRODUCT ID]],MasterData[],2,)</f>
        <v>Product44</v>
      </c>
      <c r="H519" t="str">
        <f>VLOOKUP(InputData[[#This Row],[PRODUCT ID]],MasterData[],3,)</f>
        <v>Category05</v>
      </c>
      <c r="I519" t="str">
        <f>VLOOKUP(InputData[[#This Row],[PRODUCT ID]],MasterData[],4,)</f>
        <v>Kg</v>
      </c>
      <c r="J519" s="7">
        <f>VLOOKUP(InputData[[#This Row],[PRODUCT ID]],MasterData[],5,)</f>
        <v>76</v>
      </c>
      <c r="K519" s="7">
        <f>VLOOKUP(InputData[[#This Row],[PRODUCT ID]],MasterData[],6,)</f>
        <v>82.08</v>
      </c>
      <c r="L519" s="7">
        <f>InputData[[#This Row],[BUYING PRIZE]]*InputData[[#This Row],[QUANTITY]]</f>
        <v>532</v>
      </c>
      <c r="M519" s="7">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3">
      <c r="A520" s="3">
        <v>44914</v>
      </c>
      <c r="B520" s="4" t="s">
        <v>29</v>
      </c>
      <c r="C520" s="5">
        <v>14</v>
      </c>
      <c r="D520" s="5" t="s">
        <v>108</v>
      </c>
      <c r="E520" s="5" t="s">
        <v>107</v>
      </c>
      <c r="F520" s="6">
        <v>0</v>
      </c>
      <c r="G520" t="str">
        <f>VLOOKUP(InputData[[#This Row],[PRODUCT ID]],MasterData[],2,)</f>
        <v>Product11</v>
      </c>
      <c r="H520" t="str">
        <f>VLOOKUP(InputData[[#This Row],[PRODUCT ID]],MasterData[],3,)</f>
        <v>Category02</v>
      </c>
      <c r="I520" t="str">
        <f>VLOOKUP(InputData[[#This Row],[PRODUCT ID]],MasterData[],4,)</f>
        <v>Lt</v>
      </c>
      <c r="J520" s="7">
        <f>VLOOKUP(InputData[[#This Row],[PRODUCT ID]],MasterData[],5,)</f>
        <v>44</v>
      </c>
      <c r="K520" s="7">
        <f>VLOOKUP(InputData[[#This Row],[PRODUCT ID]],MasterData[],6,)</f>
        <v>48.4</v>
      </c>
      <c r="L520" s="7">
        <f>InputData[[#This Row],[BUYING PRIZE]]*InputData[[#This Row],[QUANTITY]]</f>
        <v>616</v>
      </c>
      <c r="M520" s="7">
        <f>InputData[[#This Row],[SELLING PRICE]]*InputData[[#This Row],[QUANTITY]]*(1-InputData[[#This Row],[DISCOUNT %]])</f>
        <v>677.6</v>
      </c>
      <c r="N520">
        <f>DAY(InputData[[#This Row],[DATE]])</f>
        <v>19</v>
      </c>
      <c r="O520" t="str">
        <f>TEXT(InputData[[#This Row],[DATE]],"mmm")</f>
        <v>Dec</v>
      </c>
      <c r="P520">
        <f>YEAR(InputData[[#This Row],[DATE]])</f>
        <v>2022</v>
      </c>
    </row>
    <row r="521" spans="1:16" x14ac:dyDescent="0.3">
      <c r="A521" s="3">
        <v>44914</v>
      </c>
      <c r="B521" s="4" t="s">
        <v>24</v>
      </c>
      <c r="C521" s="5">
        <v>11</v>
      </c>
      <c r="D521" s="5" t="s">
        <v>106</v>
      </c>
      <c r="E521" s="5" t="s">
        <v>106</v>
      </c>
      <c r="F521" s="6">
        <v>0</v>
      </c>
      <c r="G521" t="str">
        <f>VLOOKUP(InputData[[#This Row],[PRODUCT ID]],MasterData[],2,)</f>
        <v>Product09</v>
      </c>
      <c r="H521" t="str">
        <f>VLOOKUP(InputData[[#This Row],[PRODUCT ID]],MasterData[],3,)</f>
        <v>Category01</v>
      </c>
      <c r="I521" t="str">
        <f>VLOOKUP(InputData[[#This Row],[PRODUCT ID]],MasterData[],4,)</f>
        <v>No.</v>
      </c>
      <c r="J521" s="7">
        <f>VLOOKUP(InputData[[#This Row],[PRODUCT ID]],MasterData[],5,)</f>
        <v>6</v>
      </c>
      <c r="K521" s="7">
        <f>VLOOKUP(InputData[[#This Row],[PRODUCT ID]],MasterData[],6,)</f>
        <v>7.8599999999999994</v>
      </c>
      <c r="L521" s="7">
        <f>InputData[[#This Row],[BUYING PRIZE]]*InputData[[#This Row],[QUANTITY]]</f>
        <v>66</v>
      </c>
      <c r="M521" s="7">
        <f>InputData[[#This Row],[SELLING PRICE]]*InputData[[#This Row],[QUANTITY]]*(1-InputData[[#This Row],[DISCOUNT %]])</f>
        <v>86.46</v>
      </c>
      <c r="N521">
        <f>DAY(InputData[[#This Row],[DATE]])</f>
        <v>19</v>
      </c>
      <c r="O521" t="str">
        <f>TEXT(InputData[[#This Row],[DATE]],"mmm")</f>
        <v>Dec</v>
      </c>
      <c r="P521">
        <f>YEAR(InputData[[#This Row],[DATE]])</f>
        <v>2022</v>
      </c>
    </row>
    <row r="522" spans="1:16" x14ac:dyDescent="0.3">
      <c r="A522" s="3">
        <v>44916</v>
      </c>
      <c r="B522" s="4" t="s">
        <v>18</v>
      </c>
      <c r="C522" s="5">
        <v>10</v>
      </c>
      <c r="D522" s="5" t="s">
        <v>108</v>
      </c>
      <c r="E522" s="5" t="s">
        <v>106</v>
      </c>
      <c r="F522" s="6">
        <v>0</v>
      </c>
      <c r="G522" t="str">
        <f>VLOOKUP(InputData[[#This Row],[PRODUCT ID]],MasterData[],2,)</f>
        <v>Product06</v>
      </c>
      <c r="H522" t="str">
        <f>VLOOKUP(InputData[[#This Row],[PRODUCT ID]],MasterData[],3,)</f>
        <v>Category01</v>
      </c>
      <c r="I522" t="str">
        <f>VLOOKUP(InputData[[#This Row],[PRODUCT ID]],MasterData[],4,)</f>
        <v>Kg</v>
      </c>
      <c r="J522" s="7">
        <f>VLOOKUP(InputData[[#This Row],[PRODUCT ID]],MasterData[],5,)</f>
        <v>75</v>
      </c>
      <c r="K522" s="7">
        <f>VLOOKUP(InputData[[#This Row],[PRODUCT ID]],MasterData[],6,)</f>
        <v>85.5</v>
      </c>
      <c r="L522" s="7">
        <f>InputData[[#This Row],[BUYING PRIZE]]*InputData[[#This Row],[QUANTITY]]</f>
        <v>750</v>
      </c>
      <c r="M522" s="7">
        <f>InputData[[#This Row],[SELLING PRICE]]*InputData[[#This Row],[QUANTITY]]*(1-InputData[[#This Row],[DISCOUNT %]])</f>
        <v>855</v>
      </c>
      <c r="N522">
        <f>DAY(InputData[[#This Row],[DATE]])</f>
        <v>21</v>
      </c>
      <c r="O522" t="str">
        <f>TEXT(InputData[[#This Row],[DATE]],"mmm")</f>
        <v>Dec</v>
      </c>
      <c r="P522">
        <f>YEAR(InputData[[#This Row],[DATE]])</f>
        <v>2022</v>
      </c>
    </row>
    <row r="523" spans="1:16" x14ac:dyDescent="0.3">
      <c r="A523" s="3">
        <v>44924</v>
      </c>
      <c r="B523" s="4" t="s">
        <v>22</v>
      </c>
      <c r="C523" s="5">
        <v>15</v>
      </c>
      <c r="D523" s="5" t="s">
        <v>108</v>
      </c>
      <c r="E523" s="5" t="s">
        <v>106</v>
      </c>
      <c r="F523" s="6">
        <v>0</v>
      </c>
      <c r="G523" t="str">
        <f>VLOOKUP(InputData[[#This Row],[PRODUCT ID]],MasterData[],2,)</f>
        <v>Product08</v>
      </c>
      <c r="H523" t="str">
        <f>VLOOKUP(InputData[[#This Row],[PRODUCT ID]],MasterData[],3,)</f>
        <v>Category01</v>
      </c>
      <c r="I523" t="str">
        <f>VLOOKUP(InputData[[#This Row],[PRODUCT ID]],MasterData[],4,)</f>
        <v>Kg</v>
      </c>
      <c r="J523" s="7">
        <f>VLOOKUP(InputData[[#This Row],[PRODUCT ID]],MasterData[],5,)</f>
        <v>83</v>
      </c>
      <c r="K523" s="7">
        <f>VLOOKUP(InputData[[#This Row],[PRODUCT ID]],MasterData[],6,)</f>
        <v>94.62</v>
      </c>
      <c r="L523" s="7">
        <f>InputData[[#This Row],[BUYING PRIZE]]*InputData[[#This Row],[QUANTITY]]</f>
        <v>1245</v>
      </c>
      <c r="M523" s="7">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3">
      <c r="A524" s="3">
        <v>44924</v>
      </c>
      <c r="B524" s="4" t="s">
        <v>94</v>
      </c>
      <c r="C524" s="5">
        <v>1</v>
      </c>
      <c r="D524" s="5" t="s">
        <v>105</v>
      </c>
      <c r="E524" s="5" t="s">
        <v>107</v>
      </c>
      <c r="F524" s="6">
        <v>0</v>
      </c>
      <c r="G524" t="str">
        <f>VLOOKUP(InputData[[#This Row],[PRODUCT ID]],MasterData[],2,)</f>
        <v>Product42</v>
      </c>
      <c r="H524" t="str">
        <f>VLOOKUP(InputData[[#This Row],[PRODUCT ID]],MasterData[],3,)</f>
        <v>Category05</v>
      </c>
      <c r="I524" t="str">
        <f>VLOOKUP(InputData[[#This Row],[PRODUCT ID]],MasterData[],4,)</f>
        <v>Ft</v>
      </c>
      <c r="J524" s="7">
        <f>VLOOKUP(InputData[[#This Row],[PRODUCT ID]],MasterData[],5,)</f>
        <v>120</v>
      </c>
      <c r="K524" s="7">
        <f>VLOOKUP(InputData[[#This Row],[PRODUCT ID]],MasterData[],6,)</f>
        <v>162</v>
      </c>
      <c r="L524" s="7">
        <f>InputData[[#This Row],[BUYING PRIZE]]*InputData[[#This Row],[QUANTITY]]</f>
        <v>120</v>
      </c>
      <c r="M524" s="7">
        <f>InputData[[#This Row],[SELLING PRICE]]*InputData[[#This Row],[QUANTITY]]*(1-InputData[[#This Row],[DISCOUNT %]])</f>
        <v>162</v>
      </c>
      <c r="N524">
        <f>DAY(InputData[[#This Row],[DATE]])</f>
        <v>29</v>
      </c>
      <c r="O524" t="str">
        <f>TEXT(InputData[[#This Row],[DATE]],"mmm")</f>
        <v>Dec</v>
      </c>
      <c r="P524">
        <f>YEAR(InputData[[#This Row],[DATE]])</f>
        <v>2022</v>
      </c>
    </row>
    <row r="525" spans="1:16" x14ac:dyDescent="0.3">
      <c r="A525" s="3">
        <v>44925</v>
      </c>
      <c r="B525" s="4" t="s">
        <v>92</v>
      </c>
      <c r="C525" s="5">
        <v>14</v>
      </c>
      <c r="D525" s="5" t="s">
        <v>108</v>
      </c>
      <c r="E525" s="5" t="s">
        <v>106</v>
      </c>
      <c r="F525" s="6">
        <v>0</v>
      </c>
      <c r="G525" t="str">
        <f>VLOOKUP(InputData[[#This Row],[PRODUCT ID]],MasterData[],2,)</f>
        <v>Product41</v>
      </c>
      <c r="H525" t="str">
        <f>VLOOKUP(InputData[[#This Row],[PRODUCT ID]],MasterData[],3,)</f>
        <v>Category05</v>
      </c>
      <c r="I525" t="str">
        <f>VLOOKUP(InputData[[#This Row],[PRODUCT ID]],MasterData[],4,)</f>
        <v>Ft</v>
      </c>
      <c r="J525" s="7">
        <f>VLOOKUP(InputData[[#This Row],[PRODUCT ID]],MasterData[],5,)</f>
        <v>138</v>
      </c>
      <c r="K525" s="7">
        <f>VLOOKUP(InputData[[#This Row],[PRODUCT ID]],MasterData[],6,)</f>
        <v>173.88</v>
      </c>
      <c r="L525" s="7">
        <f>InputData[[#This Row],[BUYING PRIZE]]*InputData[[#This Row],[QUANTITY]]</f>
        <v>1932</v>
      </c>
      <c r="M525" s="7">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3">
      <c r="A526" s="3">
        <v>44926</v>
      </c>
      <c r="B526" s="4" t="s">
        <v>75</v>
      </c>
      <c r="C526" s="5">
        <v>12</v>
      </c>
      <c r="D526" s="5" t="s">
        <v>106</v>
      </c>
      <c r="E526" s="5" t="s">
        <v>106</v>
      </c>
      <c r="F526" s="6">
        <v>0</v>
      </c>
      <c r="G526" t="str">
        <f>VLOOKUP(InputData[[#This Row],[PRODUCT ID]],MasterData[],2,)</f>
        <v>Product33</v>
      </c>
      <c r="H526" t="str">
        <f>VLOOKUP(InputData[[#This Row],[PRODUCT ID]],MasterData[],3,)</f>
        <v>Category04</v>
      </c>
      <c r="I526" t="str">
        <f>VLOOKUP(InputData[[#This Row],[PRODUCT ID]],MasterData[],4,)</f>
        <v>Kg</v>
      </c>
      <c r="J526" s="7">
        <f>VLOOKUP(InputData[[#This Row],[PRODUCT ID]],MasterData[],5,)</f>
        <v>95</v>
      </c>
      <c r="K526" s="7">
        <f>VLOOKUP(InputData[[#This Row],[PRODUCT ID]],MasterData[],6,)</f>
        <v>119.7</v>
      </c>
      <c r="L526" s="7">
        <f>InputData[[#This Row],[BUYING PRIZE]]*InputData[[#This Row],[QUANTITY]]</f>
        <v>1140</v>
      </c>
      <c r="M526" s="7">
        <f>InputData[[#This Row],[SELLING PRICE]]*InputData[[#This Row],[QUANTITY]]*(1-InputData[[#This Row],[DISCOUNT %]])</f>
        <v>1436.4</v>
      </c>
      <c r="N526">
        <f>DAY(InputData[[#This Row],[DATE]])</f>
        <v>31</v>
      </c>
      <c r="O526" t="str">
        <f>TEXT(InputData[[#This Row],[DATE]],"mmm")</f>
        <v>Dec</v>
      </c>
      <c r="P526">
        <f>YEAR(InputData[[#This Row],[DATE]])</f>
        <v>2022</v>
      </c>
    </row>
    <row r="527" spans="1:16" x14ac:dyDescent="0.3">
      <c r="A527" s="3">
        <v>44926</v>
      </c>
      <c r="B527" s="4" t="s">
        <v>29</v>
      </c>
      <c r="C527" s="5">
        <v>6</v>
      </c>
      <c r="D527" s="5" t="s">
        <v>106</v>
      </c>
      <c r="E527" s="5" t="s">
        <v>106</v>
      </c>
      <c r="F527" s="6">
        <v>0</v>
      </c>
      <c r="G527" t="str">
        <f>VLOOKUP(InputData[[#This Row],[PRODUCT ID]],MasterData[],2,)</f>
        <v>Product11</v>
      </c>
      <c r="H527" t="str">
        <f>VLOOKUP(InputData[[#This Row],[PRODUCT ID]],MasterData[],3,)</f>
        <v>Category02</v>
      </c>
      <c r="I527" t="str">
        <f>VLOOKUP(InputData[[#This Row],[PRODUCT ID]],MasterData[],4,)</f>
        <v>Lt</v>
      </c>
      <c r="J527" s="7">
        <f>VLOOKUP(InputData[[#This Row],[PRODUCT ID]],MasterData[],5,)</f>
        <v>44</v>
      </c>
      <c r="K527" s="7">
        <f>VLOOKUP(InputData[[#This Row],[PRODUCT ID]],MasterData[],6,)</f>
        <v>48.4</v>
      </c>
      <c r="L527" s="7">
        <f>InputData[[#This Row],[BUYING PRIZE]]*InputData[[#This Row],[QUANTITY]]</f>
        <v>264</v>
      </c>
      <c r="M527" s="7">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3">
      <c r="A528" s="3">
        <v>44926</v>
      </c>
      <c r="B528" s="4" t="s">
        <v>29</v>
      </c>
      <c r="C528" s="5">
        <v>3</v>
      </c>
      <c r="D528" s="5" t="s">
        <v>105</v>
      </c>
      <c r="E528" s="5" t="s">
        <v>107</v>
      </c>
      <c r="F528" s="6">
        <v>0</v>
      </c>
      <c r="G528" t="str">
        <f>VLOOKUP(InputData[[#This Row],[PRODUCT ID]],MasterData[],2,)</f>
        <v>Product11</v>
      </c>
      <c r="H528" t="str">
        <f>VLOOKUP(InputData[[#This Row],[PRODUCT ID]],MasterData[],3,)</f>
        <v>Category02</v>
      </c>
      <c r="I528" t="str">
        <f>VLOOKUP(InputData[[#This Row],[PRODUCT ID]],MasterData[],4,)</f>
        <v>Lt</v>
      </c>
      <c r="J528" s="7">
        <f>VLOOKUP(InputData[[#This Row],[PRODUCT ID]],MasterData[],5,)</f>
        <v>44</v>
      </c>
      <c r="K528" s="7">
        <f>VLOOKUP(InputData[[#This Row],[PRODUCT ID]],MasterData[],6,)</f>
        <v>48.4</v>
      </c>
      <c r="L528" s="7">
        <f>InputData[[#This Row],[BUYING PRIZE]]*InputData[[#This Row],[QUANTITY]]</f>
        <v>132</v>
      </c>
      <c r="M528" s="7">
        <f>InputData[[#This Row],[SELLING PRICE]]*InputData[[#This Row],[QUANTITY]]*(1-InputData[[#This Row],[DISCOUNT %]])</f>
        <v>145.19999999999999</v>
      </c>
      <c r="N528">
        <f>DAY(InputData[[#This Row],[DATE]])</f>
        <v>31</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topLeftCell="A10" workbookViewId="0">
      <selection activeCell="B1" sqref="B1:F1"/>
    </sheetView>
  </sheetViews>
  <sheetFormatPr defaultRowHeight="15.05" x14ac:dyDescent="0.3"/>
  <cols>
    <col min="1" max="1" width="15.88671875" bestFit="1" customWidth="1"/>
    <col min="2" max="2" width="13.6640625" bestFit="1" customWidth="1"/>
    <col min="3" max="3" width="14.44140625" bestFit="1" customWidth="1"/>
    <col min="4" max="4" width="9.88671875" bestFit="1" customWidth="1"/>
    <col min="5" max="5" width="17.21875" bestFit="1" customWidth="1"/>
    <col min="6" max="6" width="17.77734375" bestFit="1" customWidth="1"/>
  </cols>
  <sheetData>
    <row r="1" spans="1:6" ht="15.75" thickBot="1" x14ac:dyDescent="0.35">
      <c r="A1" s="1" t="s">
        <v>0</v>
      </c>
      <c r="B1" s="1" t="s">
        <v>1</v>
      </c>
      <c r="C1" s="1" t="s">
        <v>2</v>
      </c>
      <c r="D1" s="1" t="s">
        <v>3</v>
      </c>
      <c r="E1" s="1" t="s">
        <v>4</v>
      </c>
      <c r="F1" s="1" t="s">
        <v>5</v>
      </c>
    </row>
    <row r="2" spans="1:6" x14ac:dyDescent="0.3">
      <c r="A2" t="s">
        <v>6</v>
      </c>
      <c r="B2" t="s">
        <v>7</v>
      </c>
      <c r="C2" t="s">
        <v>8</v>
      </c>
      <c r="D2" t="s">
        <v>9</v>
      </c>
      <c r="E2">
        <v>98</v>
      </c>
      <c r="F2">
        <v>103.88</v>
      </c>
    </row>
    <row r="3" spans="1:6" x14ac:dyDescent="0.3">
      <c r="A3" t="s">
        <v>10</v>
      </c>
      <c r="B3" t="s">
        <v>11</v>
      </c>
      <c r="C3" t="s">
        <v>8</v>
      </c>
      <c r="D3" t="s">
        <v>9</v>
      </c>
      <c r="E3">
        <v>105</v>
      </c>
      <c r="F3">
        <v>142.80000000000001</v>
      </c>
    </row>
    <row r="4" spans="1:6" x14ac:dyDescent="0.3">
      <c r="A4" t="s">
        <v>12</v>
      </c>
      <c r="B4" t="s">
        <v>13</v>
      </c>
      <c r="C4" t="s">
        <v>8</v>
      </c>
      <c r="D4" t="s">
        <v>9</v>
      </c>
      <c r="E4">
        <v>71</v>
      </c>
      <c r="F4">
        <v>80.94</v>
      </c>
    </row>
    <row r="5" spans="1:6" x14ac:dyDescent="0.3">
      <c r="A5" t="s">
        <v>14</v>
      </c>
      <c r="B5" t="s">
        <v>15</v>
      </c>
      <c r="C5" t="s">
        <v>8</v>
      </c>
      <c r="D5" t="s">
        <v>109</v>
      </c>
      <c r="E5">
        <v>44</v>
      </c>
      <c r="F5">
        <v>48.84</v>
      </c>
    </row>
    <row r="6" spans="1:6" x14ac:dyDescent="0.3">
      <c r="A6" t="s">
        <v>16</v>
      </c>
      <c r="B6" t="s">
        <v>17</v>
      </c>
      <c r="C6" t="s">
        <v>8</v>
      </c>
      <c r="D6" t="s">
        <v>110</v>
      </c>
      <c r="E6">
        <v>133</v>
      </c>
      <c r="F6">
        <v>155.61000000000001</v>
      </c>
    </row>
    <row r="7" spans="1:6" x14ac:dyDescent="0.3">
      <c r="A7" t="s">
        <v>18</v>
      </c>
      <c r="B7" t="s">
        <v>19</v>
      </c>
      <c r="C7" t="s">
        <v>8</v>
      </c>
      <c r="D7" t="s">
        <v>9</v>
      </c>
      <c r="E7">
        <v>75</v>
      </c>
      <c r="F7">
        <v>85.5</v>
      </c>
    </row>
    <row r="8" spans="1:6" x14ac:dyDescent="0.3">
      <c r="A8" t="s">
        <v>20</v>
      </c>
      <c r="B8" t="s">
        <v>21</v>
      </c>
      <c r="C8" t="s">
        <v>8</v>
      </c>
      <c r="D8" t="s">
        <v>109</v>
      </c>
      <c r="E8">
        <v>43</v>
      </c>
      <c r="F8">
        <v>47.730000000000004</v>
      </c>
    </row>
    <row r="9" spans="1:6" x14ac:dyDescent="0.3">
      <c r="A9" t="s">
        <v>22</v>
      </c>
      <c r="B9" t="s">
        <v>23</v>
      </c>
      <c r="C9" t="s">
        <v>8</v>
      </c>
      <c r="D9" t="s">
        <v>9</v>
      </c>
      <c r="E9">
        <v>83</v>
      </c>
      <c r="F9">
        <v>94.62</v>
      </c>
    </row>
    <row r="10" spans="1:6" x14ac:dyDescent="0.3">
      <c r="A10" t="s">
        <v>24</v>
      </c>
      <c r="B10" t="s">
        <v>25</v>
      </c>
      <c r="C10" t="s">
        <v>8</v>
      </c>
      <c r="D10" t="s">
        <v>111</v>
      </c>
      <c r="E10">
        <v>6</v>
      </c>
      <c r="F10">
        <v>7.8599999999999994</v>
      </c>
    </row>
    <row r="11" spans="1:6" x14ac:dyDescent="0.3">
      <c r="A11" t="s">
        <v>26</v>
      </c>
      <c r="B11" t="s">
        <v>27</v>
      </c>
      <c r="C11" t="s">
        <v>28</v>
      </c>
      <c r="D11" t="s">
        <v>110</v>
      </c>
      <c r="E11">
        <v>148</v>
      </c>
      <c r="F11">
        <v>164.28</v>
      </c>
    </row>
    <row r="12" spans="1:6" x14ac:dyDescent="0.3">
      <c r="A12" t="s">
        <v>29</v>
      </c>
      <c r="B12" t="s">
        <v>30</v>
      </c>
      <c r="C12" t="s">
        <v>28</v>
      </c>
      <c r="D12" t="s">
        <v>109</v>
      </c>
      <c r="E12">
        <v>44</v>
      </c>
      <c r="F12">
        <v>48.4</v>
      </c>
    </row>
    <row r="13" spans="1:6" x14ac:dyDescent="0.3">
      <c r="A13" t="s">
        <v>31</v>
      </c>
      <c r="B13" t="s">
        <v>32</v>
      </c>
      <c r="C13" t="s">
        <v>28</v>
      </c>
      <c r="D13" t="s">
        <v>9</v>
      </c>
      <c r="E13">
        <v>73</v>
      </c>
      <c r="F13">
        <v>94.17</v>
      </c>
    </row>
    <row r="14" spans="1:6" x14ac:dyDescent="0.3">
      <c r="A14" t="s">
        <v>33</v>
      </c>
      <c r="B14" t="s">
        <v>34</v>
      </c>
      <c r="C14" t="s">
        <v>28</v>
      </c>
      <c r="D14" t="s">
        <v>9</v>
      </c>
      <c r="E14">
        <v>112</v>
      </c>
      <c r="F14">
        <v>122.08</v>
      </c>
    </row>
    <row r="15" spans="1:6" x14ac:dyDescent="0.3">
      <c r="A15" t="s">
        <v>35</v>
      </c>
      <c r="B15" t="s">
        <v>36</v>
      </c>
      <c r="C15" t="s">
        <v>28</v>
      </c>
      <c r="D15" t="s">
        <v>9</v>
      </c>
      <c r="E15">
        <v>112</v>
      </c>
      <c r="F15">
        <v>146.72</v>
      </c>
    </row>
    <row r="16" spans="1:6" x14ac:dyDescent="0.3">
      <c r="A16" t="s">
        <v>37</v>
      </c>
      <c r="B16" t="s">
        <v>38</v>
      </c>
      <c r="C16" t="s">
        <v>28</v>
      </c>
      <c r="D16" t="s">
        <v>111</v>
      </c>
      <c r="E16">
        <v>12</v>
      </c>
      <c r="F16">
        <v>15.719999999999999</v>
      </c>
    </row>
    <row r="17" spans="1:6" x14ac:dyDescent="0.3">
      <c r="A17" t="s">
        <v>39</v>
      </c>
      <c r="B17" t="s">
        <v>40</v>
      </c>
      <c r="C17" t="s">
        <v>28</v>
      </c>
      <c r="D17" t="s">
        <v>111</v>
      </c>
      <c r="E17">
        <v>13</v>
      </c>
      <c r="F17">
        <v>16.64</v>
      </c>
    </row>
    <row r="18" spans="1:6" x14ac:dyDescent="0.3">
      <c r="A18" t="s">
        <v>41</v>
      </c>
      <c r="B18" t="s">
        <v>42</v>
      </c>
      <c r="C18" t="s">
        <v>28</v>
      </c>
      <c r="D18" t="s">
        <v>110</v>
      </c>
      <c r="E18">
        <v>134</v>
      </c>
      <c r="F18">
        <v>156.78</v>
      </c>
    </row>
    <row r="19" spans="1:6" x14ac:dyDescent="0.3">
      <c r="A19" t="s">
        <v>43</v>
      </c>
      <c r="B19" t="s">
        <v>44</v>
      </c>
      <c r="C19" t="s">
        <v>28</v>
      </c>
      <c r="D19" t="s">
        <v>111</v>
      </c>
      <c r="E19">
        <v>37</v>
      </c>
      <c r="F19">
        <v>49.21</v>
      </c>
    </row>
    <row r="20" spans="1:6" x14ac:dyDescent="0.3">
      <c r="A20" t="s">
        <v>45</v>
      </c>
      <c r="B20" t="s">
        <v>46</v>
      </c>
      <c r="C20" t="s">
        <v>28</v>
      </c>
      <c r="D20" t="s">
        <v>110</v>
      </c>
      <c r="E20">
        <v>150</v>
      </c>
      <c r="F20">
        <v>210</v>
      </c>
    </row>
    <row r="21" spans="1:6" x14ac:dyDescent="0.3">
      <c r="A21" t="s">
        <v>47</v>
      </c>
      <c r="B21" t="s">
        <v>48</v>
      </c>
      <c r="C21" t="s">
        <v>49</v>
      </c>
      <c r="D21" t="s">
        <v>109</v>
      </c>
      <c r="E21">
        <v>61</v>
      </c>
      <c r="F21">
        <v>76.25</v>
      </c>
    </row>
    <row r="22" spans="1:6" x14ac:dyDescent="0.3">
      <c r="A22" t="s">
        <v>50</v>
      </c>
      <c r="B22" t="s">
        <v>51</v>
      </c>
      <c r="C22" t="s">
        <v>49</v>
      </c>
      <c r="D22" t="s">
        <v>110</v>
      </c>
      <c r="E22">
        <v>126</v>
      </c>
      <c r="F22">
        <v>162.54</v>
      </c>
    </row>
    <row r="23" spans="1:6" x14ac:dyDescent="0.3">
      <c r="A23" t="s">
        <v>52</v>
      </c>
      <c r="B23" t="s">
        <v>53</v>
      </c>
      <c r="C23" t="s">
        <v>49</v>
      </c>
      <c r="D23" t="s">
        <v>110</v>
      </c>
      <c r="E23">
        <v>121</v>
      </c>
      <c r="F23">
        <v>141.57</v>
      </c>
    </row>
    <row r="24" spans="1:6" x14ac:dyDescent="0.3">
      <c r="A24" t="s">
        <v>54</v>
      </c>
      <c r="B24" t="s">
        <v>55</v>
      </c>
      <c r="C24" t="s">
        <v>49</v>
      </c>
      <c r="D24" t="s">
        <v>110</v>
      </c>
      <c r="E24">
        <v>141</v>
      </c>
      <c r="F24">
        <v>149.46</v>
      </c>
    </row>
    <row r="25" spans="1:6" x14ac:dyDescent="0.3">
      <c r="A25" t="s">
        <v>56</v>
      </c>
      <c r="B25" t="s">
        <v>57</v>
      </c>
      <c r="C25" t="s">
        <v>49</v>
      </c>
      <c r="D25" t="s">
        <v>110</v>
      </c>
      <c r="E25">
        <v>144</v>
      </c>
      <c r="F25">
        <v>156.96</v>
      </c>
    </row>
    <row r="26" spans="1:6" x14ac:dyDescent="0.3">
      <c r="A26" t="s">
        <v>58</v>
      </c>
      <c r="B26" t="s">
        <v>59</v>
      </c>
      <c r="C26" t="s">
        <v>49</v>
      </c>
      <c r="D26" t="s">
        <v>111</v>
      </c>
      <c r="E26">
        <v>7</v>
      </c>
      <c r="F26">
        <v>8.33</v>
      </c>
    </row>
    <row r="27" spans="1:6" x14ac:dyDescent="0.3">
      <c r="A27" t="s">
        <v>60</v>
      </c>
      <c r="B27" t="s">
        <v>61</v>
      </c>
      <c r="C27" t="s">
        <v>62</v>
      </c>
      <c r="D27" t="s">
        <v>111</v>
      </c>
      <c r="E27">
        <v>18</v>
      </c>
      <c r="F27">
        <v>24.66</v>
      </c>
    </row>
    <row r="28" spans="1:6" x14ac:dyDescent="0.3">
      <c r="A28" t="s">
        <v>63</v>
      </c>
      <c r="B28" t="s">
        <v>64</v>
      </c>
      <c r="C28" t="s">
        <v>62</v>
      </c>
      <c r="D28" t="s">
        <v>109</v>
      </c>
      <c r="E28">
        <v>48</v>
      </c>
      <c r="F28">
        <v>57.120000000000005</v>
      </c>
    </row>
    <row r="29" spans="1:6" x14ac:dyDescent="0.3">
      <c r="A29" t="s">
        <v>65</v>
      </c>
      <c r="B29" t="s">
        <v>66</v>
      </c>
      <c r="C29" t="s">
        <v>62</v>
      </c>
      <c r="D29" t="s">
        <v>111</v>
      </c>
      <c r="E29">
        <v>37</v>
      </c>
      <c r="F29">
        <v>41.81</v>
      </c>
    </row>
    <row r="30" spans="1:6" x14ac:dyDescent="0.3">
      <c r="A30" t="s">
        <v>67</v>
      </c>
      <c r="B30" t="s">
        <v>68</v>
      </c>
      <c r="C30" t="s">
        <v>62</v>
      </c>
      <c r="D30" t="s">
        <v>109</v>
      </c>
      <c r="E30">
        <v>47</v>
      </c>
      <c r="F30">
        <v>53.11</v>
      </c>
    </row>
    <row r="31" spans="1:6" x14ac:dyDescent="0.3">
      <c r="A31" t="s">
        <v>69</v>
      </c>
      <c r="B31" t="s">
        <v>70</v>
      </c>
      <c r="C31" t="s">
        <v>62</v>
      </c>
      <c r="D31" t="s">
        <v>110</v>
      </c>
      <c r="E31">
        <v>148</v>
      </c>
      <c r="F31">
        <v>201.28</v>
      </c>
    </row>
    <row r="32" spans="1:6" x14ac:dyDescent="0.3">
      <c r="A32" t="s">
        <v>71</v>
      </c>
      <c r="B32" t="s">
        <v>72</v>
      </c>
      <c r="C32" t="s">
        <v>62</v>
      </c>
      <c r="D32" t="s">
        <v>9</v>
      </c>
      <c r="E32">
        <v>93</v>
      </c>
      <c r="F32">
        <v>104.16</v>
      </c>
    </row>
    <row r="33" spans="1:6" x14ac:dyDescent="0.3">
      <c r="A33" t="s">
        <v>73</v>
      </c>
      <c r="B33" t="s">
        <v>74</v>
      </c>
      <c r="C33" t="s">
        <v>62</v>
      </c>
      <c r="D33" t="s">
        <v>9</v>
      </c>
      <c r="E33">
        <v>89</v>
      </c>
      <c r="F33">
        <v>117.48</v>
      </c>
    </row>
    <row r="34" spans="1:6" x14ac:dyDescent="0.3">
      <c r="A34" t="s">
        <v>75</v>
      </c>
      <c r="B34" t="s">
        <v>76</v>
      </c>
      <c r="C34" t="s">
        <v>62</v>
      </c>
      <c r="D34" t="s">
        <v>9</v>
      </c>
      <c r="E34">
        <v>95</v>
      </c>
      <c r="F34">
        <v>119.7</v>
      </c>
    </row>
    <row r="35" spans="1:6" x14ac:dyDescent="0.3">
      <c r="A35" t="s">
        <v>77</v>
      </c>
      <c r="B35" t="s">
        <v>78</v>
      </c>
      <c r="C35" t="s">
        <v>62</v>
      </c>
      <c r="D35" t="s">
        <v>109</v>
      </c>
      <c r="E35">
        <v>55</v>
      </c>
      <c r="F35">
        <v>58.3</v>
      </c>
    </row>
    <row r="36" spans="1:6" x14ac:dyDescent="0.3">
      <c r="A36" t="s">
        <v>79</v>
      </c>
      <c r="B36" t="s">
        <v>80</v>
      </c>
      <c r="C36" t="s">
        <v>62</v>
      </c>
      <c r="D36" t="s">
        <v>111</v>
      </c>
      <c r="E36">
        <v>5</v>
      </c>
      <c r="F36">
        <v>6.7</v>
      </c>
    </row>
    <row r="37" spans="1:6" x14ac:dyDescent="0.3">
      <c r="A37" t="s">
        <v>81</v>
      </c>
      <c r="B37" t="s">
        <v>82</v>
      </c>
      <c r="C37" t="s">
        <v>62</v>
      </c>
      <c r="D37" t="s">
        <v>9</v>
      </c>
      <c r="E37">
        <v>90</v>
      </c>
      <c r="F37">
        <v>96.3</v>
      </c>
    </row>
    <row r="38" spans="1:6" x14ac:dyDescent="0.3">
      <c r="A38" t="s">
        <v>83</v>
      </c>
      <c r="B38" t="s">
        <v>84</v>
      </c>
      <c r="C38" t="s">
        <v>85</v>
      </c>
      <c r="D38" t="s">
        <v>9</v>
      </c>
      <c r="E38">
        <v>67</v>
      </c>
      <c r="F38">
        <v>85.76</v>
      </c>
    </row>
    <row r="39" spans="1:6" x14ac:dyDescent="0.3">
      <c r="A39" t="s">
        <v>86</v>
      </c>
      <c r="B39" t="s">
        <v>87</v>
      </c>
      <c r="C39" t="s">
        <v>85</v>
      </c>
      <c r="D39" t="s">
        <v>9</v>
      </c>
      <c r="E39">
        <v>72</v>
      </c>
      <c r="F39">
        <v>79.92</v>
      </c>
    </row>
    <row r="40" spans="1:6" x14ac:dyDescent="0.3">
      <c r="A40" t="s">
        <v>88</v>
      </c>
      <c r="B40" t="s">
        <v>89</v>
      </c>
      <c r="C40" t="s">
        <v>85</v>
      </c>
      <c r="D40" t="s">
        <v>111</v>
      </c>
      <c r="E40">
        <v>37</v>
      </c>
      <c r="F40">
        <v>42.55</v>
      </c>
    </row>
    <row r="41" spans="1:6" x14ac:dyDescent="0.3">
      <c r="A41" t="s">
        <v>90</v>
      </c>
      <c r="B41" t="s">
        <v>91</v>
      </c>
      <c r="C41" t="s">
        <v>85</v>
      </c>
      <c r="D41" t="s">
        <v>9</v>
      </c>
      <c r="E41">
        <v>90</v>
      </c>
      <c r="F41">
        <v>115.2</v>
      </c>
    </row>
    <row r="42" spans="1:6" x14ac:dyDescent="0.3">
      <c r="A42" t="s">
        <v>92</v>
      </c>
      <c r="B42" t="s">
        <v>93</v>
      </c>
      <c r="C42" t="s">
        <v>85</v>
      </c>
      <c r="D42" t="s">
        <v>110</v>
      </c>
      <c r="E42">
        <v>138</v>
      </c>
      <c r="F42">
        <v>173.88</v>
      </c>
    </row>
    <row r="43" spans="1:6" x14ac:dyDescent="0.3">
      <c r="A43" t="s">
        <v>94</v>
      </c>
      <c r="B43" t="s">
        <v>95</v>
      </c>
      <c r="C43" t="s">
        <v>85</v>
      </c>
      <c r="D43" t="s">
        <v>110</v>
      </c>
      <c r="E43">
        <v>120</v>
      </c>
      <c r="F43">
        <v>162</v>
      </c>
    </row>
    <row r="44" spans="1:6" x14ac:dyDescent="0.3">
      <c r="A44" t="s">
        <v>96</v>
      </c>
      <c r="B44" t="s">
        <v>97</v>
      </c>
      <c r="C44" t="s">
        <v>85</v>
      </c>
      <c r="D44" t="s">
        <v>9</v>
      </c>
      <c r="E44">
        <v>67</v>
      </c>
      <c r="F44">
        <v>83.08</v>
      </c>
    </row>
    <row r="45" spans="1:6" x14ac:dyDescent="0.3">
      <c r="A45" t="s">
        <v>98</v>
      </c>
      <c r="B45" t="s">
        <v>99</v>
      </c>
      <c r="C45" t="s">
        <v>85</v>
      </c>
      <c r="D45" t="s">
        <v>9</v>
      </c>
      <c r="E45">
        <v>76</v>
      </c>
      <c r="F45">
        <v>82.08</v>
      </c>
    </row>
    <row r="46" spans="1:6" x14ac:dyDescent="0.3">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9A7B-BA1B-4BAC-AAF6-C7974A87C8EB}">
  <dimension ref="A1:AQ46"/>
  <sheetViews>
    <sheetView zoomScale="99" workbookViewId="0">
      <selection activeCell="O12" sqref="O12"/>
    </sheetView>
  </sheetViews>
  <sheetFormatPr defaultRowHeight="15.05" x14ac:dyDescent="0.3"/>
  <cols>
    <col min="1" max="1" width="6.109375" bestFit="1" customWidth="1"/>
    <col min="2" max="2" width="10" bestFit="1" customWidth="1"/>
    <col min="5" max="6" width="24.77734375" bestFit="1" customWidth="1"/>
    <col min="8" max="8" width="8.44140625" bestFit="1" customWidth="1"/>
    <col min="9" max="10" width="24.77734375" bestFit="1" customWidth="1"/>
    <col min="11" max="15" width="14.5546875" customWidth="1"/>
    <col min="17" max="17" width="11.109375" bestFit="1" customWidth="1"/>
    <col min="18" max="18" width="7.33203125" bestFit="1" customWidth="1"/>
    <col min="19" max="19" width="24.77734375" bestFit="1" customWidth="1"/>
    <col min="20" max="20" width="15.33203125" bestFit="1" customWidth="1"/>
    <col min="21" max="21" width="15.21875" customWidth="1"/>
    <col min="22" max="23" width="9.109375" bestFit="1" customWidth="1"/>
    <col min="24" max="24" width="8.21875" customWidth="1"/>
    <col min="25" max="25" width="10" bestFit="1" customWidth="1"/>
    <col min="26" max="26" width="6.109375" customWidth="1"/>
    <col min="27" max="27" width="10.5546875" customWidth="1"/>
    <col min="28" max="28" width="9.21875" customWidth="1"/>
    <col min="29" max="29" width="10" bestFit="1" customWidth="1"/>
    <col min="30" max="30" width="9.21875" customWidth="1"/>
    <col min="31" max="31" width="15.77734375" customWidth="1"/>
    <col min="32" max="32" width="11.6640625" bestFit="1" customWidth="1"/>
    <col min="33" max="34" width="10" bestFit="1" customWidth="1"/>
    <col min="35" max="38" width="10" customWidth="1"/>
    <col min="39" max="39" width="11" bestFit="1" customWidth="1"/>
    <col min="40" max="40" width="11.44140625" bestFit="1" customWidth="1"/>
    <col min="41" max="41" width="14.88671875" customWidth="1"/>
    <col min="42" max="42" width="6.109375" bestFit="1" customWidth="1"/>
    <col min="43" max="43" width="11.44140625" bestFit="1" customWidth="1"/>
  </cols>
  <sheetData>
    <row r="1" spans="1:43" x14ac:dyDescent="0.3">
      <c r="A1" s="8" t="s">
        <v>119</v>
      </c>
      <c r="E1" s="8" t="s">
        <v>123</v>
      </c>
      <c r="H1" s="8" t="s">
        <v>123</v>
      </c>
      <c r="M1" t="b">
        <v>1</v>
      </c>
      <c r="N1" t="b">
        <v>1</v>
      </c>
      <c r="O1" t="b">
        <v>1</v>
      </c>
      <c r="S1" s="8" t="s">
        <v>123</v>
      </c>
      <c r="W1" t="str">
        <f ca="1">VLOOKUP(1,V:Z,2,0)</f>
        <v>Product41</v>
      </c>
      <c r="X1" t="str">
        <f ca="1">VLOOKUP(1,V:Z,3,0)</f>
        <v>Ft</v>
      </c>
      <c r="Y1" s="13">
        <f ca="1">VLOOKUP(1,V:Z,4,0)</f>
        <v>22952.16</v>
      </c>
      <c r="Z1">
        <f ca="1">VLOOKUP(1,V:Z,5,0)</f>
        <v>132</v>
      </c>
      <c r="AB1">
        <v>1</v>
      </c>
      <c r="AC1">
        <f>COUNT(T3:T46)</f>
        <v>44</v>
      </c>
      <c r="AD1">
        <f>MIN(AB1:AC1)</f>
        <v>1</v>
      </c>
      <c r="AF1" s="8" t="s">
        <v>119</v>
      </c>
      <c r="AJ1" t="str">
        <f ca="1">VLOOKUP(1,$AI:$AK,2,0)</f>
        <v>Category04</v>
      </c>
      <c r="AK1" s="13">
        <f ca="1">VLOOKUP(1,$AI:$AK,3,0)</f>
        <v>95269.4</v>
      </c>
      <c r="AM1" s="8" t="s">
        <v>119</v>
      </c>
      <c r="AP1" s="8" t="s">
        <v>119</v>
      </c>
    </row>
    <row r="2" spans="1:43" x14ac:dyDescent="0.3">
      <c r="A2" s="9" t="s">
        <v>121</v>
      </c>
      <c r="B2" t="s">
        <v>122</v>
      </c>
      <c r="E2" t="s">
        <v>120</v>
      </c>
      <c r="F2" t="s">
        <v>119</v>
      </c>
      <c r="H2" s="9" t="s">
        <v>136</v>
      </c>
      <c r="I2" t="s">
        <v>120</v>
      </c>
      <c r="J2" t="s">
        <v>119</v>
      </c>
      <c r="L2" t="s">
        <v>136</v>
      </c>
      <c r="M2" t="s">
        <v>142</v>
      </c>
      <c r="N2" t="s">
        <v>143</v>
      </c>
      <c r="O2" t="s">
        <v>141</v>
      </c>
      <c r="Q2" s="9" t="s">
        <v>3</v>
      </c>
      <c r="R2" s="9" t="s">
        <v>3</v>
      </c>
      <c r="S2" t="s">
        <v>119</v>
      </c>
      <c r="T2" t="s">
        <v>138</v>
      </c>
      <c r="AF2" s="9" t="s">
        <v>2</v>
      </c>
      <c r="AG2" t="s">
        <v>122</v>
      </c>
      <c r="AM2" s="9" t="s">
        <v>102</v>
      </c>
      <c r="AN2" t="s">
        <v>122</v>
      </c>
      <c r="AP2" s="9" t="s">
        <v>137</v>
      </c>
      <c r="AQ2" t="s">
        <v>122</v>
      </c>
    </row>
    <row r="3" spans="1:43" x14ac:dyDescent="0.3">
      <c r="A3" s="10">
        <v>1</v>
      </c>
      <c r="B3" s="7">
        <v>13167.810000000001</v>
      </c>
      <c r="D3" s="8" t="s">
        <v>122</v>
      </c>
      <c r="E3" s="7">
        <v>332504</v>
      </c>
      <c r="F3" s="7">
        <v>401411.91999999969</v>
      </c>
      <c r="H3" s="10" t="s">
        <v>124</v>
      </c>
      <c r="I3" s="7">
        <v>34290</v>
      </c>
      <c r="J3" s="7">
        <v>41346.959999999992</v>
      </c>
      <c r="K3" s="7"/>
      <c r="L3" s="10" t="s">
        <v>124</v>
      </c>
      <c r="M3" s="13">
        <f t="shared" ref="M3:M14" si="0">IF($M$1=TRUE,VLOOKUP(L3,H2:J15,3,),NA())</f>
        <v>41346.959999999992</v>
      </c>
      <c r="N3" s="13">
        <f t="shared" ref="N3:N14" si="1">IF($N$1=TRUE,VLOOKUP(L3,H2:J15,3,)-VLOOKUP(L3,H2:J15,2,),NA())</f>
        <v>7056.9599999999919</v>
      </c>
      <c r="O3" s="11">
        <f t="shared" ref="O3:O14" si="2">IF($O$1=TRUE,N3/VLOOKUP(L3,H2:J15,2,),"")</f>
        <v>0.20580227471566032</v>
      </c>
      <c r="Q3" t="s">
        <v>7</v>
      </c>
      <c r="R3" t="s">
        <v>9</v>
      </c>
      <c r="S3" s="7">
        <v>9764.7199999999993</v>
      </c>
      <c r="T3" s="15">
        <v>94</v>
      </c>
      <c r="V3">
        <f ca="1">IF(Y3="","",RANK(Y3,$Y$3:$Y$46))</f>
        <v>19</v>
      </c>
      <c r="W3" t="str">
        <f ca="1">IFERROR(OFFSET($Q$2,1,0,SUBTOTAL(3,$S$3:$S$46),1),"")</f>
        <v>Product01</v>
      </c>
      <c r="X3" t="str">
        <f ca="1">IFERROR(OFFSET($Q$2,1,1,SUBTOTAL(3,$S$3:$S$46),1),"")</f>
        <v>Kg</v>
      </c>
      <c r="Y3" s="7">
        <f ca="1">IFERROR(OFFSET($Q$2,1,2,SUBTOTAL(3,$S$3:$S$46),1),"")</f>
        <v>9764.7199999999993</v>
      </c>
      <c r="Z3">
        <f ca="1">IFERROR(OFFSET($Q$2,1,3,SUBTOTAL(3,$S$3:$S$46),1),"")</f>
        <v>94</v>
      </c>
      <c r="AB3" t="str">
        <f ca="1">IFERROR(INDEX($W$3:$W$46,$AD$1+ROW(A1)-1)," ")</f>
        <v>Product01</v>
      </c>
      <c r="AC3" s="13">
        <f ca="1">IFERROR(INDEX($Y$3:$Y$46,$AD$1+ROW(A1)-1)," ")</f>
        <v>9764.7199999999993</v>
      </c>
      <c r="AF3" s="10" t="s">
        <v>8</v>
      </c>
      <c r="AG3" s="7">
        <v>69261.950000000012</v>
      </c>
      <c r="AI3">
        <f ca="1">RANK(AK3,$AK$3:$AK$7)</f>
        <v>4</v>
      </c>
      <c r="AJ3" t="str">
        <f ca="1">OFFSET($AF$2,1,0,SUBTOTAL(2,$AG$3:$AG$7),1)</f>
        <v>Category01</v>
      </c>
      <c r="AK3" s="13">
        <f ca="1">OFFSET($AF$2,1,1,SUBTOTAL(2,$AG$3:$AG$7),1)</f>
        <v>69261.950000000012</v>
      </c>
      <c r="AL3" s="7"/>
      <c r="AM3" s="10" t="s">
        <v>108</v>
      </c>
      <c r="AN3" s="7">
        <v>208140.15000000005</v>
      </c>
      <c r="AP3" s="10" t="s">
        <v>107</v>
      </c>
      <c r="AQ3" s="7">
        <v>199516.90000000008</v>
      </c>
    </row>
    <row r="4" spans="1:43" x14ac:dyDescent="0.3">
      <c r="A4" s="10">
        <v>2</v>
      </c>
      <c r="B4" s="7">
        <v>13210.220000000001</v>
      </c>
      <c r="H4" s="10" t="s">
        <v>125</v>
      </c>
      <c r="I4" s="7">
        <v>25341</v>
      </c>
      <c r="J4" s="7">
        <v>30857.300000000003</v>
      </c>
      <c r="K4" s="7"/>
      <c r="L4" s="10" t="s">
        <v>125</v>
      </c>
      <c r="M4" s="13">
        <f t="shared" si="0"/>
        <v>30857.300000000003</v>
      </c>
      <c r="N4" s="13">
        <f t="shared" si="1"/>
        <v>5516.3000000000029</v>
      </c>
      <c r="O4" s="11">
        <f t="shared" si="2"/>
        <v>0.21768280651907987</v>
      </c>
      <c r="Q4" t="s">
        <v>11</v>
      </c>
      <c r="R4" t="s">
        <v>9</v>
      </c>
      <c r="S4" s="7">
        <v>13423.199999999999</v>
      </c>
      <c r="T4" s="15">
        <v>94</v>
      </c>
      <c r="V4">
        <f t="shared" ref="V4:V46" ca="1" si="3">IF(Y4="","",RANK(Y4,$Y$3:$Y$46))</f>
        <v>10</v>
      </c>
      <c r="W4" t="str">
        <f t="shared" ref="W4:W46" ca="1" si="4">IFERROR(OFFSET($Q$2,1,0,SUBTOTAL(3,$S$3:$S$46),1),"")</f>
        <v>Product02</v>
      </c>
      <c r="X4" t="str">
        <f t="shared" ref="X4:X46" ca="1" si="5">IFERROR(OFFSET($Q$2,1,1,SUBTOTAL(3,$S$3:$S$46),1),"")</f>
        <v>Kg</v>
      </c>
      <c r="Y4" s="7">
        <f t="shared" ref="Y4:Y46" ca="1" si="6">IFERROR(OFFSET($Q$2,1,2,SUBTOTAL(3,$S$3:$S$46),1),"")</f>
        <v>13423.199999999999</v>
      </c>
      <c r="Z4">
        <f t="shared" ref="Z4:Z46" ca="1" si="7">IFERROR(OFFSET($Q$2,1,3,SUBTOTAL(3,$S$3:$S$46),1),"")</f>
        <v>94</v>
      </c>
      <c r="AB4" t="str">
        <f t="shared" ref="AB4:AB12" ca="1" si="8">IFERROR(INDEX($W$3:$W$46,$AB$1+ROW(A2)-1)," ")</f>
        <v>Product02</v>
      </c>
      <c r="AC4" s="13">
        <f t="shared" ref="AC4:AC12" ca="1" si="9">IFERROR(INDEX($Y$3:$Y$46,$AD$1+ROW(A2)-1)," ")</f>
        <v>13423.199999999999</v>
      </c>
      <c r="AF4" s="10" t="s">
        <v>28</v>
      </c>
      <c r="AG4" s="7">
        <v>92963.87</v>
      </c>
      <c r="AI4">
        <f ca="1">RANK(AK4,$AK$3:$AK$7)</f>
        <v>2</v>
      </c>
      <c r="AJ4" t="str">
        <f ca="1">OFFSET($AF$2,1,0,SUBTOTAL(2,$AG$3:$AG$7),1)</f>
        <v>Category02</v>
      </c>
      <c r="AK4" s="13">
        <f ca="1">OFFSET($AF$2,1,1,SUBTOTAL(2,$AG$3:$AG$7),1)</f>
        <v>92963.87</v>
      </c>
      <c r="AL4" s="7"/>
      <c r="AM4" s="10" t="s">
        <v>106</v>
      </c>
      <c r="AN4" s="7">
        <v>133923.87000000002</v>
      </c>
      <c r="AP4" s="10" t="s">
        <v>106</v>
      </c>
      <c r="AQ4" s="7">
        <v>201895.01999999993</v>
      </c>
    </row>
    <row r="5" spans="1:43" x14ac:dyDescent="0.3">
      <c r="A5" s="10">
        <v>3</v>
      </c>
      <c r="B5" s="7">
        <v>20202.099999999995</v>
      </c>
      <c r="E5" t="s">
        <v>139</v>
      </c>
      <c r="F5" s="12">
        <f>GETPIVOTDATA("Sum of TOTAL SELLING VALUE",$E$2)</f>
        <v>401411.91999999969</v>
      </c>
      <c r="H5" s="10" t="s">
        <v>126</v>
      </c>
      <c r="I5" s="7">
        <v>23437</v>
      </c>
      <c r="J5" s="7">
        <v>28616.65</v>
      </c>
      <c r="K5" s="7"/>
      <c r="L5" s="10" t="s">
        <v>126</v>
      </c>
      <c r="M5" s="13">
        <f t="shared" si="0"/>
        <v>28616.65</v>
      </c>
      <c r="N5" s="13">
        <f t="shared" si="1"/>
        <v>5179.6500000000015</v>
      </c>
      <c r="O5" s="11">
        <f t="shared" si="2"/>
        <v>0.22100311473311438</v>
      </c>
      <c r="Q5" t="s">
        <v>13</v>
      </c>
      <c r="R5" t="s">
        <v>9</v>
      </c>
      <c r="S5" s="7">
        <v>6394.2599999999993</v>
      </c>
      <c r="T5" s="15">
        <v>79</v>
      </c>
      <c r="V5">
        <f t="shared" ca="1" si="3"/>
        <v>26</v>
      </c>
      <c r="W5" t="str">
        <f t="shared" ca="1" si="4"/>
        <v>Product03</v>
      </c>
      <c r="X5" t="str">
        <f t="shared" ca="1" si="5"/>
        <v>Kg</v>
      </c>
      <c r="Y5" s="7">
        <f t="shared" ca="1" si="6"/>
        <v>6394.2599999999993</v>
      </c>
      <c r="Z5">
        <f t="shared" ca="1" si="7"/>
        <v>79</v>
      </c>
      <c r="AB5" t="str">
        <f t="shared" ca="1" si="8"/>
        <v>Product03</v>
      </c>
      <c r="AC5" s="13">
        <f t="shared" ca="1" si="9"/>
        <v>6394.2599999999993</v>
      </c>
      <c r="AF5" s="10" t="s">
        <v>49</v>
      </c>
      <c r="AG5" s="7">
        <v>52299.509999999995</v>
      </c>
      <c r="AI5">
        <f ca="1">RANK(AK5,$AK$3:$AK$7)</f>
        <v>5</v>
      </c>
      <c r="AJ5" t="str">
        <f ca="1">OFFSET($AF$2,1,0,SUBTOTAL(2,$AG$3:$AG$7),1)</f>
        <v>Category03</v>
      </c>
      <c r="AK5" s="13">
        <f ca="1">OFFSET($AF$2,1,1,SUBTOTAL(2,$AG$3:$AG$7),1)</f>
        <v>52299.509999999995</v>
      </c>
      <c r="AL5" s="7"/>
      <c r="AM5" s="10" t="s">
        <v>105</v>
      </c>
      <c r="AN5" s="7">
        <v>59347.900000000009</v>
      </c>
    </row>
    <row r="6" spans="1:43" x14ac:dyDescent="0.3">
      <c r="A6" s="10">
        <v>4</v>
      </c>
      <c r="B6" s="7">
        <v>11312.2</v>
      </c>
      <c r="E6" t="s">
        <v>140</v>
      </c>
      <c r="F6" s="12">
        <f>GETPIVOTDATA("Sum of TOTAL SELLING VALUE",$E$2)-GETPIVOTDATA("Sum of TOTAL BUYING VALUE",$E$2)</f>
        <v>68907.919999999693</v>
      </c>
      <c r="H6" s="10" t="s">
        <v>127</v>
      </c>
      <c r="I6" s="7">
        <v>21282</v>
      </c>
      <c r="J6" s="7">
        <v>26579.11</v>
      </c>
      <c r="K6" s="7"/>
      <c r="L6" s="10" t="s">
        <v>127</v>
      </c>
      <c r="M6" s="13">
        <f t="shared" si="0"/>
        <v>26579.11</v>
      </c>
      <c r="N6" s="13">
        <f t="shared" si="1"/>
        <v>5297.1100000000006</v>
      </c>
      <c r="O6" s="11">
        <f t="shared" si="2"/>
        <v>0.24890094915891367</v>
      </c>
      <c r="Q6" t="s">
        <v>15</v>
      </c>
      <c r="R6" t="s">
        <v>109</v>
      </c>
      <c r="S6" s="7">
        <v>6056.1600000000008</v>
      </c>
      <c r="T6" s="15">
        <v>124</v>
      </c>
      <c r="V6">
        <f t="shared" ca="1" si="3"/>
        <v>30</v>
      </c>
      <c r="W6" t="str">
        <f t="shared" ca="1" si="4"/>
        <v>Product04</v>
      </c>
      <c r="X6" t="str">
        <f t="shared" ca="1" si="5"/>
        <v>Lt</v>
      </c>
      <c r="Y6" s="7">
        <f t="shared" ca="1" si="6"/>
        <v>6056.1600000000008</v>
      </c>
      <c r="Z6">
        <f t="shared" ca="1" si="7"/>
        <v>124</v>
      </c>
      <c r="AB6" t="str">
        <f t="shared" ca="1" si="8"/>
        <v>Product04</v>
      </c>
      <c r="AC6" s="13">
        <f t="shared" ca="1" si="9"/>
        <v>6056.1600000000008</v>
      </c>
      <c r="AF6" s="10" t="s">
        <v>62</v>
      </c>
      <c r="AG6" s="7">
        <v>95269.4</v>
      </c>
      <c r="AI6">
        <f ca="1">RANK(AK6,$AK$3:$AK$7)</f>
        <v>1</v>
      </c>
      <c r="AJ6" t="str">
        <f ca="1">OFFSET($AF$2,1,0,SUBTOTAL(2,$AG$3:$AG$7),1)</f>
        <v>Category04</v>
      </c>
      <c r="AK6" s="13">
        <f ca="1">OFFSET($AF$2,1,1,SUBTOTAL(2,$AG$3:$AG$7),1)</f>
        <v>95269.4</v>
      </c>
      <c r="AL6" s="7"/>
    </row>
    <row r="7" spans="1:43" x14ac:dyDescent="0.3">
      <c r="A7" s="10">
        <v>5</v>
      </c>
      <c r="B7" s="7">
        <v>11711.449999999999</v>
      </c>
      <c r="E7" t="s">
        <v>141</v>
      </c>
      <c r="F7" s="11">
        <f>F6/GETPIVOTDATA("Sum of TOTAL BUYING VALUE",$E$2)</f>
        <v>0.20723937155643149</v>
      </c>
      <c r="H7" s="10" t="s">
        <v>128</v>
      </c>
      <c r="I7" s="7">
        <v>26526</v>
      </c>
      <c r="J7" s="7">
        <v>30910.45</v>
      </c>
      <c r="K7" s="7"/>
      <c r="L7" s="10" t="s">
        <v>128</v>
      </c>
      <c r="M7" s="13">
        <f t="shared" si="0"/>
        <v>30910.45</v>
      </c>
      <c r="N7" s="13">
        <f t="shared" si="1"/>
        <v>4384.4500000000007</v>
      </c>
      <c r="O7" s="11">
        <f t="shared" si="2"/>
        <v>0.16528877327904701</v>
      </c>
      <c r="Q7" t="s">
        <v>17</v>
      </c>
      <c r="R7" t="s">
        <v>110</v>
      </c>
      <c r="S7" s="7">
        <v>15716.61</v>
      </c>
      <c r="T7" s="15">
        <v>101</v>
      </c>
      <c r="V7">
        <f t="shared" ca="1" si="3"/>
        <v>8</v>
      </c>
      <c r="W7" t="str">
        <f t="shared" ca="1" si="4"/>
        <v>Product05</v>
      </c>
      <c r="X7" t="str">
        <f t="shared" ca="1" si="5"/>
        <v>Ft</v>
      </c>
      <c r="Y7" s="7">
        <f t="shared" ca="1" si="6"/>
        <v>15716.61</v>
      </c>
      <c r="Z7">
        <f t="shared" ca="1" si="7"/>
        <v>101</v>
      </c>
      <c r="AB7" t="str">
        <f t="shared" ca="1" si="8"/>
        <v>Product05</v>
      </c>
      <c r="AC7" s="13">
        <f t="shared" ca="1" si="9"/>
        <v>15716.61</v>
      </c>
      <c r="AF7" s="10" t="s">
        <v>85</v>
      </c>
      <c r="AG7" s="7">
        <v>91617.19</v>
      </c>
      <c r="AI7">
        <f ca="1">RANK(AK7,$AK$3:$AK$7)</f>
        <v>3</v>
      </c>
      <c r="AJ7" t="str">
        <f ca="1">OFFSET($AF$2,1,0,SUBTOTAL(2,$AG$3:$AG$7),1)</f>
        <v>Category05</v>
      </c>
      <c r="AK7" s="13">
        <f ca="1">OFFSET($AF$2,1,1,SUBTOTAL(2,$AG$3:$AG$7),1)</f>
        <v>91617.19</v>
      </c>
      <c r="AL7" s="7"/>
    </row>
    <row r="8" spans="1:43" x14ac:dyDescent="0.3">
      <c r="A8" s="10">
        <v>6</v>
      </c>
      <c r="B8" s="7">
        <v>14365.540000000005</v>
      </c>
      <c r="H8" s="10" t="s">
        <v>129</v>
      </c>
      <c r="I8" s="7">
        <v>24879</v>
      </c>
      <c r="J8" s="7">
        <v>30533.710000000003</v>
      </c>
      <c r="K8" s="7"/>
      <c r="L8" s="10" t="s">
        <v>129</v>
      </c>
      <c r="M8" s="13">
        <f t="shared" si="0"/>
        <v>30533.710000000003</v>
      </c>
      <c r="N8" s="13">
        <f t="shared" si="1"/>
        <v>5654.7100000000028</v>
      </c>
      <c r="O8" s="11">
        <f t="shared" si="2"/>
        <v>0.22728847622492876</v>
      </c>
      <c r="Q8" t="s">
        <v>19</v>
      </c>
      <c r="R8" t="s">
        <v>9</v>
      </c>
      <c r="S8" s="7">
        <v>4531.5</v>
      </c>
      <c r="T8" s="15">
        <v>53</v>
      </c>
      <c r="V8">
        <f t="shared" ca="1" si="3"/>
        <v>35</v>
      </c>
      <c r="W8" t="str">
        <f t="shared" ca="1" si="4"/>
        <v>Product06</v>
      </c>
      <c r="X8" t="str">
        <f t="shared" ca="1" si="5"/>
        <v>Kg</v>
      </c>
      <c r="Y8" s="7">
        <f t="shared" ca="1" si="6"/>
        <v>4531.5</v>
      </c>
      <c r="Z8">
        <f t="shared" ca="1" si="7"/>
        <v>53</v>
      </c>
      <c r="AB8" t="str">
        <f t="shared" ca="1" si="8"/>
        <v>Product06</v>
      </c>
      <c r="AC8" s="13">
        <f t="shared" ca="1" si="9"/>
        <v>4531.5</v>
      </c>
    </row>
    <row r="9" spans="1:43" x14ac:dyDescent="0.3">
      <c r="A9" s="10">
        <v>7</v>
      </c>
      <c r="B9" s="7">
        <v>7132.79</v>
      </c>
      <c r="H9" s="10" t="s">
        <v>130</v>
      </c>
      <c r="I9" s="7">
        <v>29878</v>
      </c>
      <c r="J9" s="7">
        <v>35251.79</v>
      </c>
      <c r="K9" s="7"/>
      <c r="L9" s="10" t="s">
        <v>130</v>
      </c>
      <c r="M9" s="13">
        <f t="shared" si="0"/>
        <v>35251.79</v>
      </c>
      <c r="N9" s="13">
        <f t="shared" si="1"/>
        <v>5373.7900000000009</v>
      </c>
      <c r="O9" s="11">
        <f t="shared" si="2"/>
        <v>0.1798577548698039</v>
      </c>
      <c r="Q9" t="s">
        <v>21</v>
      </c>
      <c r="R9" t="s">
        <v>109</v>
      </c>
      <c r="S9" s="7">
        <v>2291.04</v>
      </c>
      <c r="T9" s="15">
        <v>48</v>
      </c>
      <c r="V9">
        <f t="shared" ca="1" si="3"/>
        <v>39</v>
      </c>
      <c r="W9" t="str">
        <f t="shared" ca="1" si="4"/>
        <v>Product07</v>
      </c>
      <c r="X9" t="str">
        <f t="shared" ca="1" si="5"/>
        <v>Lt</v>
      </c>
      <c r="Y9" s="7">
        <f t="shared" ca="1" si="6"/>
        <v>2291.04</v>
      </c>
      <c r="Z9">
        <f t="shared" ca="1" si="7"/>
        <v>48</v>
      </c>
      <c r="AB9" t="str">
        <f t="shared" ca="1" si="8"/>
        <v>Product07</v>
      </c>
      <c r="AC9" s="13">
        <f t="shared" ca="1" si="9"/>
        <v>2291.04</v>
      </c>
    </row>
    <row r="10" spans="1:43" x14ac:dyDescent="0.3">
      <c r="A10" s="10">
        <v>8</v>
      </c>
      <c r="B10" s="7">
        <v>14262.46</v>
      </c>
      <c r="H10" s="10" t="s">
        <v>131</v>
      </c>
      <c r="I10" s="7">
        <v>29831</v>
      </c>
      <c r="J10" s="7">
        <v>35350.400000000016</v>
      </c>
      <c r="K10" s="7"/>
      <c r="L10" s="10" t="s">
        <v>131</v>
      </c>
      <c r="M10" s="13">
        <f t="shared" si="0"/>
        <v>35350.400000000016</v>
      </c>
      <c r="N10" s="13">
        <f t="shared" si="1"/>
        <v>5519.400000000016</v>
      </c>
      <c r="O10" s="11">
        <f t="shared" si="2"/>
        <v>0.18502229224632147</v>
      </c>
      <c r="Q10" t="s">
        <v>23</v>
      </c>
      <c r="R10" t="s">
        <v>9</v>
      </c>
      <c r="S10" s="7">
        <v>10502.82</v>
      </c>
      <c r="T10" s="15">
        <v>111</v>
      </c>
      <c r="V10">
        <f t="shared" ca="1" si="3"/>
        <v>15</v>
      </c>
      <c r="W10" t="str">
        <f t="shared" ca="1" si="4"/>
        <v>Product08</v>
      </c>
      <c r="X10" t="str">
        <f t="shared" ca="1" si="5"/>
        <v>Kg</v>
      </c>
      <c r="Y10" s="7">
        <f t="shared" ca="1" si="6"/>
        <v>10502.82</v>
      </c>
      <c r="Z10">
        <f t="shared" ca="1" si="7"/>
        <v>111</v>
      </c>
      <c r="AB10" t="str">
        <f t="shared" ca="1" si="8"/>
        <v>Product08</v>
      </c>
      <c r="AC10" s="13">
        <f ca="1">IFERROR(INDEX($Y$3:$Y$46,$AD$1+ROW(A8)-1)," ")</f>
        <v>10502.82</v>
      </c>
    </row>
    <row r="11" spans="1:43" x14ac:dyDescent="0.3">
      <c r="A11" s="10">
        <v>9</v>
      </c>
      <c r="B11" s="7">
        <v>16824.670000000002</v>
      </c>
      <c r="H11" s="10" t="s">
        <v>132</v>
      </c>
      <c r="I11" s="7">
        <v>28758</v>
      </c>
      <c r="J11" s="7">
        <v>35242.810000000005</v>
      </c>
      <c r="K11" s="7"/>
      <c r="L11" s="10" t="s">
        <v>132</v>
      </c>
      <c r="M11" s="13">
        <f t="shared" si="0"/>
        <v>35242.810000000005</v>
      </c>
      <c r="N11" s="13">
        <f t="shared" si="1"/>
        <v>6484.8100000000049</v>
      </c>
      <c r="O11" s="11">
        <f t="shared" si="2"/>
        <v>0.22549586202100302</v>
      </c>
      <c r="Q11" t="s">
        <v>25</v>
      </c>
      <c r="R11" t="s">
        <v>111</v>
      </c>
      <c r="S11" s="7">
        <v>581.64</v>
      </c>
      <c r="T11" s="15">
        <v>74</v>
      </c>
      <c r="V11">
        <f t="shared" ca="1" si="3"/>
        <v>44</v>
      </c>
      <c r="W11" t="str">
        <f t="shared" ca="1" si="4"/>
        <v>Product09</v>
      </c>
      <c r="X11" t="str">
        <f t="shared" ca="1" si="5"/>
        <v>No.</v>
      </c>
      <c r="Y11" s="7">
        <f t="shared" ca="1" si="6"/>
        <v>581.64</v>
      </c>
      <c r="Z11">
        <f t="shared" ca="1" si="7"/>
        <v>74</v>
      </c>
      <c r="AB11" t="str">
        <f t="shared" ca="1" si="8"/>
        <v>Product09</v>
      </c>
      <c r="AC11" s="13">
        <f t="shared" ca="1" si="9"/>
        <v>581.64</v>
      </c>
    </row>
    <row r="12" spans="1:43" x14ac:dyDescent="0.3">
      <c r="A12" s="10">
        <v>10</v>
      </c>
      <c r="B12" s="7">
        <v>15229.35</v>
      </c>
      <c r="H12" s="10" t="s">
        <v>133</v>
      </c>
      <c r="I12" s="7">
        <v>27842</v>
      </c>
      <c r="J12" s="7">
        <v>33500.69000000001</v>
      </c>
      <c r="K12" s="7"/>
      <c r="L12" s="10" t="s">
        <v>133</v>
      </c>
      <c r="M12" s="13">
        <f t="shared" si="0"/>
        <v>33500.69000000001</v>
      </c>
      <c r="N12" s="13">
        <f t="shared" si="1"/>
        <v>5658.6900000000096</v>
      </c>
      <c r="O12" s="11">
        <f t="shared" si="2"/>
        <v>0.20324294231736259</v>
      </c>
      <c r="Q12" t="s">
        <v>27</v>
      </c>
      <c r="R12" t="s">
        <v>110</v>
      </c>
      <c r="S12" s="7">
        <v>16428</v>
      </c>
      <c r="T12" s="15">
        <v>100</v>
      </c>
      <c r="V12">
        <f t="shared" ca="1" si="3"/>
        <v>5</v>
      </c>
      <c r="W12" t="str">
        <f t="shared" ca="1" si="4"/>
        <v>Product10</v>
      </c>
      <c r="X12" t="str">
        <f t="shared" ca="1" si="5"/>
        <v>Ft</v>
      </c>
      <c r="Y12" s="7">
        <f t="shared" ca="1" si="6"/>
        <v>16428</v>
      </c>
      <c r="Z12">
        <f t="shared" ca="1" si="7"/>
        <v>100</v>
      </c>
      <c r="AB12" t="str">
        <f t="shared" ca="1" si="8"/>
        <v>Product10</v>
      </c>
      <c r="AC12" s="13">
        <f t="shared" ca="1" si="9"/>
        <v>16428</v>
      </c>
    </row>
    <row r="13" spans="1:43" x14ac:dyDescent="0.3">
      <c r="A13" s="10">
        <v>11</v>
      </c>
      <c r="B13" s="7">
        <v>11915.58</v>
      </c>
      <c r="H13" s="10" t="s">
        <v>134</v>
      </c>
      <c r="I13" s="7">
        <v>29306</v>
      </c>
      <c r="J13" s="7">
        <v>36124.07</v>
      </c>
      <c r="K13" s="7"/>
      <c r="L13" s="10" t="s">
        <v>134</v>
      </c>
      <c r="M13" s="13">
        <f t="shared" si="0"/>
        <v>36124.07</v>
      </c>
      <c r="N13" s="13">
        <f t="shared" si="1"/>
        <v>6818.07</v>
      </c>
      <c r="O13" s="11">
        <f t="shared" si="2"/>
        <v>0.2326509929707227</v>
      </c>
      <c r="Q13" t="s">
        <v>30</v>
      </c>
      <c r="R13" t="s">
        <v>109</v>
      </c>
      <c r="S13" s="7">
        <v>5856.4</v>
      </c>
      <c r="T13" s="15">
        <v>121</v>
      </c>
      <c r="V13">
        <f t="shared" ca="1" si="3"/>
        <v>31</v>
      </c>
      <c r="W13" t="str">
        <f t="shared" ca="1" si="4"/>
        <v>Product11</v>
      </c>
      <c r="X13" t="str">
        <f t="shared" ca="1" si="5"/>
        <v>Lt</v>
      </c>
      <c r="Y13" s="7">
        <f t="shared" ca="1" si="6"/>
        <v>5856.4</v>
      </c>
      <c r="Z13">
        <f t="shared" ca="1" si="7"/>
        <v>121</v>
      </c>
    </row>
    <row r="14" spans="1:43" x14ac:dyDescent="0.3">
      <c r="A14" s="10">
        <v>12</v>
      </c>
      <c r="B14" s="7">
        <v>14837.359999999999</v>
      </c>
      <c r="H14" s="10" t="s">
        <v>135</v>
      </c>
      <c r="I14" s="7">
        <v>31134</v>
      </c>
      <c r="J14" s="7">
        <v>37097.979999999996</v>
      </c>
      <c r="K14" s="7"/>
      <c r="L14" s="10" t="s">
        <v>135</v>
      </c>
      <c r="M14" s="13">
        <f t="shared" si="0"/>
        <v>37097.979999999996</v>
      </c>
      <c r="N14" s="13">
        <f t="shared" si="1"/>
        <v>5963.9799999999959</v>
      </c>
      <c r="O14" s="11">
        <f t="shared" si="2"/>
        <v>0.19155842487312894</v>
      </c>
      <c r="Q14" t="s">
        <v>32</v>
      </c>
      <c r="R14" t="s">
        <v>9</v>
      </c>
      <c r="S14" s="7">
        <v>11582.910000000003</v>
      </c>
      <c r="T14" s="15">
        <v>123</v>
      </c>
      <c r="V14">
        <f t="shared" ca="1" si="3"/>
        <v>13</v>
      </c>
      <c r="W14" t="str">
        <f t="shared" ca="1" si="4"/>
        <v>Product12</v>
      </c>
      <c r="X14" t="str">
        <f t="shared" ca="1" si="5"/>
        <v>Kg</v>
      </c>
      <c r="Y14" s="7">
        <f t="shared" ca="1" si="6"/>
        <v>11582.910000000003</v>
      </c>
      <c r="Z14">
        <f t="shared" ca="1" si="7"/>
        <v>123</v>
      </c>
    </row>
    <row r="15" spans="1:43" x14ac:dyDescent="0.3">
      <c r="A15" s="10">
        <v>13</v>
      </c>
      <c r="B15" s="7">
        <v>8084.26</v>
      </c>
      <c r="Q15" t="s">
        <v>34</v>
      </c>
      <c r="R15" t="s">
        <v>9</v>
      </c>
      <c r="S15" s="7">
        <v>8423.52</v>
      </c>
      <c r="T15" s="15">
        <v>69</v>
      </c>
      <c r="V15">
        <f t="shared" ca="1" si="3"/>
        <v>22</v>
      </c>
      <c r="W15" t="str">
        <f t="shared" ca="1" si="4"/>
        <v>Product13</v>
      </c>
      <c r="X15" t="str">
        <f t="shared" ca="1" si="5"/>
        <v>Kg</v>
      </c>
      <c r="Y15" s="7">
        <f t="shared" ca="1" si="6"/>
        <v>8423.52</v>
      </c>
      <c r="Z15">
        <f t="shared" ca="1" si="7"/>
        <v>69</v>
      </c>
    </row>
    <row r="16" spans="1:43" x14ac:dyDescent="0.3">
      <c r="A16" s="10">
        <v>14</v>
      </c>
      <c r="B16" s="7">
        <v>9461.1400000000012</v>
      </c>
      <c r="Q16" t="s">
        <v>36</v>
      </c>
      <c r="R16" t="s">
        <v>9</v>
      </c>
      <c r="S16" s="7">
        <v>12764.640000000001</v>
      </c>
      <c r="T16" s="15">
        <v>87</v>
      </c>
      <c r="V16">
        <f t="shared" ca="1" si="3"/>
        <v>12</v>
      </c>
      <c r="W16" t="str">
        <f t="shared" ca="1" si="4"/>
        <v>Product14</v>
      </c>
      <c r="X16" t="str">
        <f t="shared" ca="1" si="5"/>
        <v>Kg</v>
      </c>
      <c r="Y16" s="7">
        <f t="shared" ca="1" si="6"/>
        <v>12764.640000000001</v>
      </c>
      <c r="Z16">
        <f t="shared" ca="1" si="7"/>
        <v>87</v>
      </c>
    </row>
    <row r="17" spans="1:26" x14ac:dyDescent="0.3">
      <c r="A17" s="10">
        <v>15</v>
      </c>
      <c r="B17" s="7">
        <v>12189.7</v>
      </c>
      <c r="Q17" t="s">
        <v>38</v>
      </c>
      <c r="R17" t="s">
        <v>111</v>
      </c>
      <c r="S17" s="7">
        <v>1839.2399999999998</v>
      </c>
      <c r="T17" s="15">
        <v>117</v>
      </c>
      <c r="V17">
        <f t="shared" ca="1" si="3"/>
        <v>41</v>
      </c>
      <c r="W17" t="str">
        <f t="shared" ca="1" si="4"/>
        <v>Product15</v>
      </c>
      <c r="X17" t="str">
        <f t="shared" ca="1" si="5"/>
        <v>No.</v>
      </c>
      <c r="Y17" s="7">
        <f t="shared" ca="1" si="6"/>
        <v>1839.2399999999998</v>
      </c>
      <c r="Z17">
        <f t="shared" ca="1" si="7"/>
        <v>117</v>
      </c>
    </row>
    <row r="18" spans="1:26" x14ac:dyDescent="0.3">
      <c r="A18" s="10">
        <v>16</v>
      </c>
      <c r="B18" s="7">
        <v>12762.63</v>
      </c>
      <c r="Q18" t="s">
        <v>40</v>
      </c>
      <c r="R18" t="s">
        <v>111</v>
      </c>
      <c r="S18" s="7">
        <v>1996.8</v>
      </c>
      <c r="T18" s="15">
        <v>120</v>
      </c>
      <c r="V18">
        <f t="shared" ca="1" si="3"/>
        <v>40</v>
      </c>
      <c r="W18" t="str">
        <f t="shared" ca="1" si="4"/>
        <v>Product16</v>
      </c>
      <c r="X18" t="str">
        <f t="shared" ca="1" si="5"/>
        <v>No.</v>
      </c>
      <c r="Y18" s="7">
        <f t="shared" ca="1" si="6"/>
        <v>1996.8</v>
      </c>
      <c r="Z18">
        <f t="shared" ca="1" si="7"/>
        <v>120</v>
      </c>
    </row>
    <row r="19" spans="1:26" x14ac:dyDescent="0.3">
      <c r="A19" s="10">
        <v>17</v>
      </c>
      <c r="B19" s="7">
        <v>3659.24</v>
      </c>
      <c r="Q19" t="s">
        <v>42</v>
      </c>
      <c r="R19" t="s">
        <v>110</v>
      </c>
      <c r="S19" s="7">
        <v>9877.1400000000012</v>
      </c>
      <c r="T19" s="15">
        <v>63</v>
      </c>
      <c r="V19">
        <f t="shared" ca="1" si="3"/>
        <v>18</v>
      </c>
      <c r="W19" t="str">
        <f t="shared" ca="1" si="4"/>
        <v>Product17</v>
      </c>
      <c r="X19" t="str">
        <f t="shared" ca="1" si="5"/>
        <v>Ft</v>
      </c>
      <c r="Y19" s="7">
        <f t="shared" ca="1" si="6"/>
        <v>9877.1400000000012</v>
      </c>
      <c r="Z19">
        <f t="shared" ca="1" si="7"/>
        <v>63</v>
      </c>
    </row>
    <row r="20" spans="1:26" x14ac:dyDescent="0.3">
      <c r="A20" s="10">
        <v>18</v>
      </c>
      <c r="B20" s="7">
        <v>18582.390000000003</v>
      </c>
      <c r="Q20" t="s">
        <v>44</v>
      </c>
      <c r="R20" t="s">
        <v>111</v>
      </c>
      <c r="S20" s="7">
        <v>4035.2200000000003</v>
      </c>
      <c r="T20" s="15">
        <v>82</v>
      </c>
      <c r="V20">
        <f t="shared" ca="1" si="3"/>
        <v>36</v>
      </c>
      <c r="W20" t="str">
        <f t="shared" ca="1" si="4"/>
        <v>Product18</v>
      </c>
      <c r="X20" t="str">
        <f t="shared" ca="1" si="5"/>
        <v>No.</v>
      </c>
      <c r="Y20" s="7">
        <f t="shared" ca="1" si="6"/>
        <v>4035.2200000000003</v>
      </c>
      <c r="Z20">
        <f t="shared" ca="1" si="7"/>
        <v>82</v>
      </c>
    </row>
    <row r="21" spans="1:26" x14ac:dyDescent="0.3">
      <c r="A21" s="10">
        <v>19</v>
      </c>
      <c r="B21" s="7">
        <v>10204.229999999998</v>
      </c>
      <c r="Q21" t="s">
        <v>46</v>
      </c>
      <c r="R21" t="s">
        <v>110</v>
      </c>
      <c r="S21" s="7">
        <v>20160</v>
      </c>
      <c r="T21" s="15">
        <v>96</v>
      </c>
      <c r="V21">
        <f t="shared" ca="1" si="3"/>
        <v>4</v>
      </c>
      <c r="W21" t="str">
        <f t="shared" ca="1" si="4"/>
        <v>Product19</v>
      </c>
      <c r="X21" t="str">
        <f t="shared" ca="1" si="5"/>
        <v>Ft</v>
      </c>
      <c r="Y21" s="7">
        <f t="shared" ca="1" si="6"/>
        <v>20160</v>
      </c>
      <c r="Z21">
        <f t="shared" ca="1" si="7"/>
        <v>96</v>
      </c>
    </row>
    <row r="22" spans="1:26" x14ac:dyDescent="0.3">
      <c r="A22" s="10">
        <v>20</v>
      </c>
      <c r="B22" s="7">
        <v>20482.78</v>
      </c>
      <c r="Q22" t="s">
        <v>48</v>
      </c>
      <c r="R22" t="s">
        <v>109</v>
      </c>
      <c r="S22" s="7">
        <v>8006.25</v>
      </c>
      <c r="T22" s="15">
        <v>105</v>
      </c>
      <c r="V22">
        <f t="shared" ca="1" si="3"/>
        <v>23</v>
      </c>
      <c r="W22" t="str">
        <f t="shared" ca="1" si="4"/>
        <v>Product20</v>
      </c>
      <c r="X22" t="str">
        <f t="shared" ca="1" si="5"/>
        <v>Lt</v>
      </c>
      <c r="Y22" s="7">
        <f t="shared" ca="1" si="6"/>
        <v>8006.25</v>
      </c>
      <c r="Z22">
        <f t="shared" ca="1" si="7"/>
        <v>105</v>
      </c>
    </row>
    <row r="23" spans="1:26" x14ac:dyDescent="0.3">
      <c r="A23" s="10">
        <v>21</v>
      </c>
      <c r="B23" s="7">
        <v>10665.4</v>
      </c>
      <c r="Q23" t="s">
        <v>51</v>
      </c>
      <c r="R23" t="s">
        <v>110</v>
      </c>
      <c r="S23" s="7">
        <v>10727.64</v>
      </c>
      <c r="T23" s="15">
        <v>66</v>
      </c>
      <c r="V23">
        <f t="shared" ca="1" si="3"/>
        <v>14</v>
      </c>
      <c r="W23" t="str">
        <f t="shared" ca="1" si="4"/>
        <v>Product21</v>
      </c>
      <c r="X23" t="str">
        <f t="shared" ca="1" si="5"/>
        <v>Ft</v>
      </c>
      <c r="Y23" s="7">
        <f t="shared" ca="1" si="6"/>
        <v>10727.64</v>
      </c>
      <c r="Z23">
        <f t="shared" ca="1" si="7"/>
        <v>66</v>
      </c>
    </row>
    <row r="24" spans="1:26" x14ac:dyDescent="0.3">
      <c r="A24" s="10">
        <v>22</v>
      </c>
      <c r="B24" s="7">
        <v>11315.839999999997</v>
      </c>
      <c r="Q24" t="s">
        <v>53</v>
      </c>
      <c r="R24" t="s">
        <v>110</v>
      </c>
      <c r="S24" s="7">
        <v>9909.9</v>
      </c>
      <c r="T24" s="15">
        <v>70</v>
      </c>
      <c r="V24">
        <f t="shared" ca="1" si="3"/>
        <v>17</v>
      </c>
      <c r="W24" t="str">
        <f t="shared" ca="1" si="4"/>
        <v>Product22</v>
      </c>
      <c r="X24" t="str">
        <f t="shared" ca="1" si="5"/>
        <v>Ft</v>
      </c>
      <c r="Y24" s="7">
        <f t="shared" ca="1" si="6"/>
        <v>9909.9</v>
      </c>
      <c r="Z24">
        <f t="shared" ca="1" si="7"/>
        <v>70</v>
      </c>
    </row>
    <row r="25" spans="1:26" x14ac:dyDescent="0.3">
      <c r="A25" s="10">
        <v>23</v>
      </c>
      <c r="B25" s="7">
        <v>18818.189999999999</v>
      </c>
      <c r="Q25" t="s">
        <v>55</v>
      </c>
      <c r="R25" t="s">
        <v>110</v>
      </c>
      <c r="S25" s="7">
        <v>12853.560000000001</v>
      </c>
      <c r="T25" s="15">
        <v>86</v>
      </c>
      <c r="V25">
        <f t="shared" ca="1" si="3"/>
        <v>11</v>
      </c>
      <c r="W25" t="str">
        <f t="shared" ca="1" si="4"/>
        <v>Product23</v>
      </c>
      <c r="X25" t="str">
        <f t="shared" ca="1" si="5"/>
        <v>Ft</v>
      </c>
      <c r="Y25" s="7">
        <f t="shared" ca="1" si="6"/>
        <v>12853.560000000001</v>
      </c>
      <c r="Z25">
        <f t="shared" ca="1" si="7"/>
        <v>86</v>
      </c>
    </row>
    <row r="26" spans="1:26" x14ac:dyDescent="0.3">
      <c r="A26" s="10">
        <v>24</v>
      </c>
      <c r="B26" s="7">
        <v>11488.4</v>
      </c>
      <c r="Q26" t="s">
        <v>57</v>
      </c>
      <c r="R26" t="s">
        <v>110</v>
      </c>
      <c r="S26" s="7">
        <v>10202.400000000001</v>
      </c>
      <c r="T26" s="15">
        <v>65</v>
      </c>
      <c r="V26">
        <f t="shared" ca="1" si="3"/>
        <v>16</v>
      </c>
      <c r="W26" t="str">
        <f t="shared" ca="1" si="4"/>
        <v>Product24</v>
      </c>
      <c r="X26" t="str">
        <f t="shared" ca="1" si="5"/>
        <v>Ft</v>
      </c>
      <c r="Y26" s="7">
        <f t="shared" ca="1" si="6"/>
        <v>10202.400000000001</v>
      </c>
      <c r="Z26">
        <f t="shared" ca="1" si="7"/>
        <v>65</v>
      </c>
    </row>
    <row r="27" spans="1:26" x14ac:dyDescent="0.3">
      <c r="A27" s="10">
        <v>25</v>
      </c>
      <c r="B27" s="7">
        <v>18688.430000000004</v>
      </c>
      <c r="Q27" t="s">
        <v>59</v>
      </c>
      <c r="R27" t="s">
        <v>111</v>
      </c>
      <c r="S27" s="7">
        <v>599.7600000000001</v>
      </c>
      <c r="T27" s="15">
        <v>72</v>
      </c>
      <c r="V27">
        <f t="shared" ca="1" si="3"/>
        <v>43</v>
      </c>
      <c r="W27" t="str">
        <f t="shared" ca="1" si="4"/>
        <v>Product25</v>
      </c>
      <c r="X27" t="str">
        <f t="shared" ca="1" si="5"/>
        <v>No.</v>
      </c>
      <c r="Y27" s="7">
        <f t="shared" ca="1" si="6"/>
        <v>599.7600000000001</v>
      </c>
      <c r="Z27">
        <f t="shared" ca="1" si="7"/>
        <v>72</v>
      </c>
    </row>
    <row r="28" spans="1:26" x14ac:dyDescent="0.3">
      <c r="A28" s="10">
        <v>26</v>
      </c>
      <c r="B28" s="7">
        <v>13710.079999999998</v>
      </c>
      <c r="Q28" t="s">
        <v>61</v>
      </c>
      <c r="R28" t="s">
        <v>111</v>
      </c>
      <c r="S28" s="7">
        <v>2761.9200000000005</v>
      </c>
      <c r="T28" s="15">
        <v>112</v>
      </c>
      <c r="V28">
        <f t="shared" ca="1" si="3"/>
        <v>38</v>
      </c>
      <c r="W28" t="str">
        <f t="shared" ca="1" si="4"/>
        <v>Product26</v>
      </c>
      <c r="X28" t="str">
        <f t="shared" ca="1" si="5"/>
        <v>No.</v>
      </c>
      <c r="Y28" s="7">
        <f t="shared" ca="1" si="6"/>
        <v>2761.9200000000005</v>
      </c>
      <c r="Z28">
        <f t="shared" ca="1" si="7"/>
        <v>112</v>
      </c>
    </row>
    <row r="29" spans="1:26" x14ac:dyDescent="0.3">
      <c r="A29" s="10">
        <v>27</v>
      </c>
      <c r="B29" s="7">
        <v>11440.67</v>
      </c>
      <c r="Q29" t="s">
        <v>64</v>
      </c>
      <c r="R29" t="s">
        <v>109</v>
      </c>
      <c r="S29" s="7">
        <v>6226.0800000000008</v>
      </c>
      <c r="T29" s="15">
        <v>109</v>
      </c>
      <c r="V29">
        <f t="shared" ca="1" si="3"/>
        <v>28</v>
      </c>
      <c r="W29" t="str">
        <f t="shared" ca="1" si="4"/>
        <v>Product27</v>
      </c>
      <c r="X29" t="str">
        <f t="shared" ca="1" si="5"/>
        <v>Lt</v>
      </c>
      <c r="Y29" s="7">
        <f t="shared" ca="1" si="6"/>
        <v>6226.0800000000008</v>
      </c>
      <c r="Z29">
        <f t="shared" ca="1" si="7"/>
        <v>109</v>
      </c>
    </row>
    <row r="30" spans="1:26" x14ac:dyDescent="0.3">
      <c r="A30" s="10">
        <v>28</v>
      </c>
      <c r="B30" s="7">
        <v>13306.16</v>
      </c>
      <c r="Q30" t="s">
        <v>66</v>
      </c>
      <c r="R30" t="s">
        <v>111</v>
      </c>
      <c r="S30" s="7">
        <v>4682.72</v>
      </c>
      <c r="T30" s="15">
        <v>112</v>
      </c>
      <c r="V30">
        <f t="shared" ca="1" si="3"/>
        <v>34</v>
      </c>
      <c r="W30" t="str">
        <f t="shared" ca="1" si="4"/>
        <v>Product28</v>
      </c>
      <c r="X30" t="str">
        <f t="shared" ca="1" si="5"/>
        <v>No.</v>
      </c>
      <c r="Y30" s="7">
        <f t="shared" ca="1" si="6"/>
        <v>4682.72</v>
      </c>
      <c r="Z30">
        <f t="shared" ca="1" si="7"/>
        <v>112</v>
      </c>
    </row>
    <row r="31" spans="1:26" x14ac:dyDescent="0.3">
      <c r="A31" s="10">
        <v>29</v>
      </c>
      <c r="B31" s="7">
        <v>8794.48</v>
      </c>
      <c r="Q31" t="s">
        <v>68</v>
      </c>
      <c r="R31" t="s">
        <v>109</v>
      </c>
      <c r="S31" s="7">
        <v>5523.44</v>
      </c>
      <c r="T31" s="15">
        <v>104</v>
      </c>
      <c r="V31">
        <f t="shared" ca="1" si="3"/>
        <v>32</v>
      </c>
      <c r="W31" t="str">
        <f t="shared" ca="1" si="4"/>
        <v>Product29</v>
      </c>
      <c r="X31" t="str">
        <f t="shared" ca="1" si="5"/>
        <v>Lt</v>
      </c>
      <c r="Y31" s="7">
        <f t="shared" ca="1" si="6"/>
        <v>5523.44</v>
      </c>
      <c r="Z31">
        <f t="shared" ca="1" si="7"/>
        <v>104</v>
      </c>
    </row>
    <row r="32" spans="1:26" x14ac:dyDescent="0.3">
      <c r="A32" s="10">
        <v>30</v>
      </c>
      <c r="B32" s="7">
        <v>16666.269999999997</v>
      </c>
      <c r="Q32" t="s">
        <v>70</v>
      </c>
      <c r="R32" t="s">
        <v>110</v>
      </c>
      <c r="S32" s="7">
        <v>22945.919999999998</v>
      </c>
      <c r="T32" s="15">
        <v>114</v>
      </c>
      <c r="V32">
        <f t="shared" ca="1" si="3"/>
        <v>2</v>
      </c>
      <c r="W32" t="str">
        <f t="shared" ca="1" si="4"/>
        <v>Product30</v>
      </c>
      <c r="X32" t="str">
        <f t="shared" ca="1" si="5"/>
        <v>Ft</v>
      </c>
      <c r="Y32" s="7">
        <f t="shared" ca="1" si="6"/>
        <v>22945.919999999998</v>
      </c>
      <c r="Z32">
        <f t="shared" ca="1" si="7"/>
        <v>114</v>
      </c>
    </row>
    <row r="33" spans="1:26" x14ac:dyDescent="0.3">
      <c r="A33" s="10">
        <v>31</v>
      </c>
      <c r="B33" s="7">
        <v>6920.0999999999995</v>
      </c>
      <c r="Q33" t="s">
        <v>72</v>
      </c>
      <c r="R33" t="s">
        <v>9</v>
      </c>
      <c r="S33" s="7">
        <v>6249.5999999999995</v>
      </c>
      <c r="T33" s="15">
        <v>60</v>
      </c>
      <c r="V33">
        <f t="shared" ca="1" si="3"/>
        <v>27</v>
      </c>
      <c r="W33" t="str">
        <f t="shared" ca="1" si="4"/>
        <v>Product31</v>
      </c>
      <c r="X33" t="str">
        <f t="shared" ca="1" si="5"/>
        <v>Kg</v>
      </c>
      <c r="Y33" s="7">
        <f t="shared" ca="1" si="6"/>
        <v>6249.5999999999995</v>
      </c>
      <c r="Z33">
        <f t="shared" ca="1" si="7"/>
        <v>60</v>
      </c>
    </row>
    <row r="34" spans="1:26" x14ac:dyDescent="0.3">
      <c r="Q34" t="s">
        <v>74</v>
      </c>
      <c r="R34" t="s">
        <v>9</v>
      </c>
      <c r="S34" s="7">
        <v>16329.72</v>
      </c>
      <c r="T34" s="15">
        <v>139</v>
      </c>
      <c r="V34">
        <f t="shared" ca="1" si="3"/>
        <v>7</v>
      </c>
      <c r="W34" t="str">
        <f t="shared" ca="1" si="4"/>
        <v>Product32</v>
      </c>
      <c r="X34" t="str">
        <f t="shared" ca="1" si="5"/>
        <v>Kg</v>
      </c>
      <c r="Y34" s="7">
        <f t="shared" ca="1" si="6"/>
        <v>16329.72</v>
      </c>
      <c r="Z34">
        <f t="shared" ca="1" si="7"/>
        <v>139</v>
      </c>
    </row>
    <row r="35" spans="1:26" x14ac:dyDescent="0.3">
      <c r="Q35" t="s">
        <v>76</v>
      </c>
      <c r="R35" t="s">
        <v>9</v>
      </c>
      <c r="S35" s="7">
        <v>13645.800000000001</v>
      </c>
      <c r="T35" s="15">
        <v>114</v>
      </c>
      <c r="V35">
        <f t="shared" ca="1" si="3"/>
        <v>9</v>
      </c>
      <c r="W35" t="str">
        <f t="shared" ca="1" si="4"/>
        <v>Product33</v>
      </c>
      <c r="X35" t="str">
        <f t="shared" ca="1" si="5"/>
        <v>Kg</v>
      </c>
      <c r="Y35" s="7">
        <f t="shared" ca="1" si="6"/>
        <v>13645.800000000001</v>
      </c>
      <c r="Z35">
        <f t="shared" ca="1" si="7"/>
        <v>114</v>
      </c>
    </row>
    <row r="36" spans="1:26" x14ac:dyDescent="0.3">
      <c r="Q36" t="s">
        <v>78</v>
      </c>
      <c r="R36" t="s">
        <v>109</v>
      </c>
      <c r="S36" s="7">
        <v>8978.2000000000007</v>
      </c>
      <c r="T36" s="15">
        <v>154</v>
      </c>
      <c r="V36">
        <f t="shared" ca="1" si="3"/>
        <v>20</v>
      </c>
      <c r="W36" t="str">
        <f t="shared" ca="1" si="4"/>
        <v>Product34</v>
      </c>
      <c r="X36" t="str">
        <f t="shared" ca="1" si="5"/>
        <v>Lt</v>
      </c>
      <c r="Y36" s="7">
        <f t="shared" ca="1" si="6"/>
        <v>8978.2000000000007</v>
      </c>
      <c r="Z36">
        <f t="shared" ca="1" si="7"/>
        <v>154</v>
      </c>
    </row>
    <row r="37" spans="1:26" x14ac:dyDescent="0.3">
      <c r="Q37" t="s">
        <v>80</v>
      </c>
      <c r="R37" t="s">
        <v>111</v>
      </c>
      <c r="S37" s="7">
        <v>703.5</v>
      </c>
      <c r="T37" s="15">
        <v>105</v>
      </c>
      <c r="V37">
        <f t="shared" ca="1" si="3"/>
        <v>42</v>
      </c>
      <c r="W37" t="str">
        <f t="shared" ca="1" si="4"/>
        <v>Product35</v>
      </c>
      <c r="X37" t="str">
        <f t="shared" ca="1" si="5"/>
        <v>No.</v>
      </c>
      <c r="Y37" s="7">
        <f t="shared" ca="1" si="6"/>
        <v>703.5</v>
      </c>
      <c r="Z37">
        <f t="shared" ca="1" si="7"/>
        <v>105</v>
      </c>
    </row>
    <row r="38" spans="1:26" x14ac:dyDescent="0.3">
      <c r="Q38" t="s">
        <v>82</v>
      </c>
      <c r="R38" t="s">
        <v>9</v>
      </c>
      <c r="S38" s="7">
        <v>7222.5</v>
      </c>
      <c r="T38" s="15">
        <v>75</v>
      </c>
      <c r="V38">
        <f t="shared" ca="1" si="3"/>
        <v>25</v>
      </c>
      <c r="W38" t="str">
        <f t="shared" ca="1" si="4"/>
        <v>Product36</v>
      </c>
      <c r="X38" t="str">
        <f t="shared" ca="1" si="5"/>
        <v>Kg</v>
      </c>
      <c r="Y38" s="7">
        <f t="shared" ca="1" si="6"/>
        <v>7222.5</v>
      </c>
      <c r="Z38">
        <f t="shared" ca="1" si="7"/>
        <v>75</v>
      </c>
    </row>
    <row r="39" spans="1:26" x14ac:dyDescent="0.3">
      <c r="Q39" t="s">
        <v>84</v>
      </c>
      <c r="R39" t="s">
        <v>9</v>
      </c>
      <c r="S39" s="7">
        <v>5145.6000000000004</v>
      </c>
      <c r="T39" s="15">
        <v>60</v>
      </c>
      <c r="V39">
        <f t="shared" ca="1" si="3"/>
        <v>33</v>
      </c>
      <c r="W39" t="str">
        <f t="shared" ca="1" si="4"/>
        <v>Product37</v>
      </c>
      <c r="X39" t="str">
        <f t="shared" ca="1" si="5"/>
        <v>Kg</v>
      </c>
      <c r="Y39" s="7">
        <f t="shared" ca="1" si="6"/>
        <v>5145.6000000000004</v>
      </c>
      <c r="Z39">
        <f t="shared" ca="1" si="7"/>
        <v>60</v>
      </c>
    </row>
    <row r="40" spans="1:26" x14ac:dyDescent="0.3">
      <c r="Q40" t="s">
        <v>87</v>
      </c>
      <c r="R40" t="s">
        <v>9</v>
      </c>
      <c r="S40" s="7">
        <v>8871.1200000000008</v>
      </c>
      <c r="T40" s="15">
        <v>111</v>
      </c>
      <c r="V40">
        <f t="shared" ca="1" si="3"/>
        <v>21</v>
      </c>
      <c r="W40" t="str">
        <f t="shared" ca="1" si="4"/>
        <v>Product38</v>
      </c>
      <c r="X40" t="str">
        <f t="shared" ca="1" si="5"/>
        <v>Kg</v>
      </c>
      <c r="Y40" s="7">
        <f t="shared" ca="1" si="6"/>
        <v>8871.1200000000008</v>
      </c>
      <c r="Z40">
        <f t="shared" ca="1" si="7"/>
        <v>111</v>
      </c>
    </row>
    <row r="41" spans="1:26" x14ac:dyDescent="0.3">
      <c r="Q41" t="s">
        <v>89</v>
      </c>
      <c r="R41" t="s">
        <v>111</v>
      </c>
      <c r="S41" s="7">
        <v>3957.15</v>
      </c>
      <c r="T41" s="15">
        <v>93</v>
      </c>
      <c r="V41">
        <f t="shared" ca="1" si="3"/>
        <v>37</v>
      </c>
      <c r="W41" t="str">
        <f t="shared" ca="1" si="4"/>
        <v>Product39</v>
      </c>
      <c r="X41" t="str">
        <f t="shared" ca="1" si="5"/>
        <v>No.</v>
      </c>
      <c r="Y41" s="7">
        <f t="shared" ca="1" si="6"/>
        <v>3957.15</v>
      </c>
      <c r="Z41">
        <f t="shared" ca="1" si="7"/>
        <v>93</v>
      </c>
    </row>
    <row r="42" spans="1:26" x14ac:dyDescent="0.3">
      <c r="Q42" t="s">
        <v>91</v>
      </c>
      <c r="R42" t="s">
        <v>9</v>
      </c>
      <c r="S42" s="7">
        <v>7718.4000000000005</v>
      </c>
      <c r="T42" s="15">
        <v>67</v>
      </c>
      <c r="V42">
        <f t="shared" ca="1" si="3"/>
        <v>24</v>
      </c>
      <c r="W42" t="str">
        <f t="shared" ca="1" si="4"/>
        <v>Product40</v>
      </c>
      <c r="X42" t="str">
        <f t="shared" ca="1" si="5"/>
        <v>Kg</v>
      </c>
      <c r="Y42" s="7">
        <f t="shared" ca="1" si="6"/>
        <v>7718.4000000000005</v>
      </c>
      <c r="Z42">
        <f t="shared" ca="1" si="7"/>
        <v>67</v>
      </c>
    </row>
    <row r="43" spans="1:26" x14ac:dyDescent="0.3">
      <c r="Q43" t="s">
        <v>93</v>
      </c>
      <c r="R43" t="s">
        <v>110</v>
      </c>
      <c r="S43" s="7">
        <v>22952.16</v>
      </c>
      <c r="T43" s="15">
        <v>132</v>
      </c>
      <c r="V43">
        <f t="shared" ca="1" si="3"/>
        <v>1</v>
      </c>
      <c r="W43" t="str">
        <f t="shared" ca="1" si="4"/>
        <v>Product41</v>
      </c>
      <c r="X43" t="str">
        <f t="shared" ca="1" si="5"/>
        <v>Ft</v>
      </c>
      <c r="Y43" s="7">
        <f t="shared" ca="1" si="6"/>
        <v>22952.16</v>
      </c>
      <c r="Z43">
        <f t="shared" ca="1" si="7"/>
        <v>132</v>
      </c>
    </row>
    <row r="44" spans="1:26" x14ac:dyDescent="0.3">
      <c r="Q44" t="s">
        <v>95</v>
      </c>
      <c r="R44" t="s">
        <v>110</v>
      </c>
      <c r="S44" s="7">
        <v>20574</v>
      </c>
      <c r="T44" s="15">
        <v>127</v>
      </c>
      <c r="V44">
        <f t="shared" ca="1" si="3"/>
        <v>3</v>
      </c>
      <c r="W44" t="str">
        <f t="shared" ca="1" si="4"/>
        <v>Product42</v>
      </c>
      <c r="X44" t="str">
        <f t="shared" ca="1" si="5"/>
        <v>Ft</v>
      </c>
      <c r="Y44" s="7">
        <f t="shared" ca="1" si="6"/>
        <v>20574</v>
      </c>
      <c r="Z44">
        <f t="shared" ca="1" si="7"/>
        <v>127</v>
      </c>
    </row>
    <row r="45" spans="1:26" x14ac:dyDescent="0.3">
      <c r="Q45" t="s">
        <v>97</v>
      </c>
      <c r="R45" t="s">
        <v>9</v>
      </c>
      <c r="S45" s="7">
        <v>6064.8399999999992</v>
      </c>
      <c r="T45" s="15">
        <v>73</v>
      </c>
      <c r="V45">
        <f t="shared" ca="1" si="3"/>
        <v>29</v>
      </c>
      <c r="W45" t="str">
        <f t="shared" ca="1" si="4"/>
        <v>Product43</v>
      </c>
      <c r="X45" t="str">
        <f t="shared" ca="1" si="5"/>
        <v>Kg</v>
      </c>
      <c r="Y45" s="7">
        <f t="shared" ca="1" si="6"/>
        <v>6064.8399999999992</v>
      </c>
      <c r="Z45">
        <f t="shared" ca="1" si="7"/>
        <v>73</v>
      </c>
    </row>
    <row r="46" spans="1:26" x14ac:dyDescent="0.3">
      <c r="Q46" t="s">
        <v>99</v>
      </c>
      <c r="R46" t="s">
        <v>9</v>
      </c>
      <c r="S46" s="7">
        <v>16333.92</v>
      </c>
      <c r="T46" s="15">
        <v>199</v>
      </c>
      <c r="V46">
        <f t="shared" ca="1" si="3"/>
        <v>6</v>
      </c>
      <c r="W46" t="str">
        <f t="shared" ca="1" si="4"/>
        <v>Product44</v>
      </c>
      <c r="X46" t="str">
        <f t="shared" ca="1" si="5"/>
        <v>Kg</v>
      </c>
      <c r="Y46" s="7">
        <f t="shared" ca="1" si="6"/>
        <v>16333.92</v>
      </c>
      <c r="Z46">
        <f t="shared" ca="1" si="7"/>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9B4AA-4527-4567-B160-46F0CF7051E2}">
  <dimension ref="M1:AB7"/>
  <sheetViews>
    <sheetView showGridLines="0" showRowColHeaders="0" tabSelected="1" zoomScale="80" zoomScaleNormal="80" workbookViewId="0">
      <selection activeCell="Y16" sqref="Y16"/>
    </sheetView>
  </sheetViews>
  <sheetFormatPr defaultRowHeight="15.05" x14ac:dyDescent="0.3"/>
  <cols>
    <col min="26" max="26" width="17.109375" bestFit="1" customWidth="1"/>
  </cols>
  <sheetData>
    <row r="1" spans="13:28" x14ac:dyDescent="0.3">
      <c r="M1" t="b">
        <v>1</v>
      </c>
      <c r="N1" t="b">
        <v>1</v>
      </c>
      <c r="O1" t="b">
        <v>1</v>
      </c>
      <c r="AB1">
        <v>1</v>
      </c>
    </row>
    <row r="7" spans="13:28" x14ac:dyDescent="0.3">
      <c r="Z7" s="14"/>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2" r:id="rId3" name="Check Box 6">
              <controlPr defaultSize="0" autoFill="0" autoLine="0" autoPict="0">
                <anchor moveWithCells="1">
                  <from>
                    <xdr:col>5</xdr:col>
                    <xdr:colOff>182880</xdr:colOff>
                    <xdr:row>13</xdr:row>
                    <xdr:rowOff>116378</xdr:rowOff>
                  </from>
                  <to>
                    <xdr:col>5</xdr:col>
                    <xdr:colOff>515389</xdr:colOff>
                    <xdr:row>15</xdr:row>
                    <xdr:rowOff>8313</xdr:rowOff>
                  </to>
                </anchor>
              </controlPr>
            </control>
          </mc:Choice>
        </mc:AlternateContent>
        <mc:AlternateContent xmlns:mc="http://schemas.openxmlformats.org/markup-compatibility/2006">
          <mc:Choice Requires="x14">
            <control shapeId="4103" r:id="rId4" name="Check Box 7">
              <controlPr defaultSize="0" autoFill="0" autoLine="0" autoPict="0">
                <anchor moveWithCells="1">
                  <from>
                    <xdr:col>6</xdr:col>
                    <xdr:colOff>199505</xdr:colOff>
                    <xdr:row>13</xdr:row>
                    <xdr:rowOff>116378</xdr:rowOff>
                  </from>
                  <to>
                    <xdr:col>6</xdr:col>
                    <xdr:colOff>532015</xdr:colOff>
                    <xdr:row>15</xdr:row>
                    <xdr:rowOff>8313</xdr:rowOff>
                  </to>
                </anchor>
              </controlPr>
            </control>
          </mc:Choice>
        </mc:AlternateContent>
        <mc:AlternateContent xmlns:mc="http://schemas.openxmlformats.org/markup-compatibility/2006">
          <mc:Choice Requires="x14">
            <control shapeId="4104" r:id="rId5" name="Check Box 8">
              <controlPr defaultSize="0" autoFill="0" autoLine="0" autoPict="0">
                <anchor moveWithCells="1">
                  <from>
                    <xdr:col>7</xdr:col>
                    <xdr:colOff>382385</xdr:colOff>
                    <xdr:row>13</xdr:row>
                    <xdr:rowOff>116378</xdr:rowOff>
                  </from>
                  <to>
                    <xdr:col>8</xdr:col>
                    <xdr:colOff>49876</xdr:colOff>
                    <xdr:row>15</xdr:row>
                    <xdr:rowOff>8313</xdr:rowOff>
                  </to>
                </anchor>
              </controlPr>
            </control>
          </mc:Choice>
        </mc:AlternateContent>
        <mc:AlternateContent xmlns:mc="http://schemas.openxmlformats.org/markup-compatibility/2006">
          <mc:Choice Requires="x14">
            <control shapeId="4105" r:id="rId6" name="Scroll Bar 9">
              <controlPr defaultSize="0" autoPict="0">
                <anchor moveWithCells="1">
                  <from>
                    <xdr:col>9</xdr:col>
                    <xdr:colOff>490451</xdr:colOff>
                    <xdr:row>16</xdr:row>
                    <xdr:rowOff>24938</xdr:rowOff>
                  </from>
                  <to>
                    <xdr:col>10</xdr:col>
                    <xdr:colOff>8313</xdr:colOff>
                    <xdr:row>27</xdr:row>
                    <xdr:rowOff>116378</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Kumar Tiwary</dc:creator>
  <cp:lastModifiedBy>Prem Kumar Tiwary</cp:lastModifiedBy>
  <dcterms:created xsi:type="dcterms:W3CDTF">2021-11-03T11:40:02Z</dcterms:created>
  <dcterms:modified xsi:type="dcterms:W3CDTF">2026-04-11T13:04:53Z</dcterms:modified>
</cp:coreProperties>
</file>